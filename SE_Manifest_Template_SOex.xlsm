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krist\Desktop\BCP\Final\"/>
    </mc:Choice>
  </mc:AlternateContent>
  <bookViews>
    <workbookView xWindow="0" yWindow="0" windowWidth="24000" windowHeight="9000"/>
  </bookViews>
  <sheets>
    <sheet name="SE Manifest" sheetId="1" r:id="rId1"/>
    <sheet name="Master BL Instructions" sheetId="2" r:id="rId2"/>
  </sheets>
  <functionGroups builtInGroupCount="18"/>
  <definedNames>
    <definedName name="Container_Type">'SE Manifest'!$S$189:$S$198</definedName>
    <definedName name="Eight">'SE Manifest'!$A$29:$O$52</definedName>
    <definedName name="Eight_Hide">'SE Manifest'!$A$53:$O$178</definedName>
    <definedName name="Eighteen">'SE Manifest'!$A$29:$O$82</definedName>
    <definedName name="Eighteen_Hide">'SE Manifest'!$A$83:$O$178</definedName>
    <definedName name="Eleven">'SE Manifest'!$A$29:$O$61</definedName>
    <definedName name="Eleven_Hide">'SE Manifest'!$A$62:$O$178</definedName>
    <definedName name="Fifteen">'SE Manifest'!$A$29:$O$73</definedName>
    <definedName name="Fifteen_Hide">'SE Manifest'!$A$74:$O$178</definedName>
    <definedName name="Fifty">'SE Manifest'!$A$29:$O$178</definedName>
    <definedName name="Five">'SE Manifest'!$A$29:$O$43</definedName>
    <definedName name="Five_Hide">'SE Manifest'!$A$44:$O$178</definedName>
    <definedName name="Forty">'SE Manifest'!$A$29:$O$148</definedName>
    <definedName name="Forty_Eight">'SE Manifest'!$A$29:$O$172</definedName>
    <definedName name="Forty_Eight_Hide">'SE Manifest'!$A$173:$O$178</definedName>
    <definedName name="Forty_Five">'SE Manifest'!$A$29:$O$163</definedName>
    <definedName name="Forty_Five_Hide">'SE Manifest'!$A$164:$O$178</definedName>
    <definedName name="Forty_Four">'SE Manifest'!$A$29:$O$160</definedName>
    <definedName name="Forty_Four_Hide">'SE Manifest'!$A$161:$O$178</definedName>
    <definedName name="Forty_Hide">'SE Manifest'!$A$149:$O$178</definedName>
    <definedName name="Forty_Nine">'SE Manifest'!$A$29:$O$175</definedName>
    <definedName name="Forty_Nine_Hide">'SE Manifest'!$A$176:$O$178</definedName>
    <definedName name="Forty_One">'SE Manifest'!$A$29:$O$151</definedName>
    <definedName name="Forty_One_Hide">'SE Manifest'!$A$152:$O$178</definedName>
    <definedName name="Forty_Seven">'SE Manifest'!$A$29:$O$169</definedName>
    <definedName name="Forty_Seven_Hide">'SE Manifest'!$A$170:$O$178</definedName>
    <definedName name="Forty_Six">'SE Manifest'!$A$29:$O$166</definedName>
    <definedName name="Forty_Six_Hide">'SE Manifest'!$A$167:$O$178</definedName>
    <definedName name="Forty_Three">'SE Manifest'!$A$29:$O$157</definedName>
    <definedName name="Forty_Three_Hide">'SE Manifest'!$A$158:$O$178</definedName>
    <definedName name="Forty_Two">'SE Manifest'!$A$29:$O$154</definedName>
    <definedName name="Forty_Two_Hide">'SE Manifest'!$A$155:$O$178</definedName>
    <definedName name="Four">'SE Manifest'!$A$29:$O$40</definedName>
    <definedName name="Four_Hide">'SE Manifest'!$A$41:$O$178</definedName>
    <definedName name="Fourteen">'SE Manifest'!$A$29:$O$70</definedName>
    <definedName name="Fourteen_Hide">'SE Manifest'!$A$71:$O$178</definedName>
    <definedName name="Nine">'SE Manifest'!$A$29:$O$55</definedName>
    <definedName name="Nine_Hide">'SE Manifest'!$A$56:$O$178</definedName>
    <definedName name="Nineteen">'SE Manifest'!$A$29:$O$85</definedName>
    <definedName name="Nineteen_Hide">'SE Manifest'!$A$86:$O$178</definedName>
    <definedName name="Office_Address">Office_Addr[Office_Addr]</definedName>
    <definedName name="Office_Location">Office_Loc['[SELECT LOCATION']]</definedName>
    <definedName name="One">'SE Manifest'!$A$29:$O$31</definedName>
    <definedName name="One_Hide">'SE Manifest'!$A$32:$O$178</definedName>
    <definedName name="_xlnm.Print_Area" localSheetId="1">'Master BL Instructions'!$B$8:$AK$98</definedName>
    <definedName name="_xlnm.Print_Area" localSheetId="0">'SE Manifest'!$A$7:$O$183</definedName>
    <definedName name="_xlnm.Print_Titles" localSheetId="1">'Master BL Instructions'!$8:$40</definedName>
    <definedName name="_xlnm.Print_Titles" localSheetId="0">'SE Manifest'!$7:$28</definedName>
    <definedName name="Seven">'SE Manifest'!$A$29:$O$49</definedName>
    <definedName name="Seven_Hide">'SE Manifest'!$A$50:$O$178</definedName>
    <definedName name="Seventeen">'SE Manifest'!$A$29:$O$79</definedName>
    <definedName name="Seventeen_Hide">'SE Manifest'!$A$80:$O$178</definedName>
    <definedName name="Six">'SE Manifest'!$A$29:$O$46</definedName>
    <definedName name="Six_Hide">'SE Manifest'!$A$47:$O$178</definedName>
    <definedName name="Sixteen">'SE Manifest'!$A$29:$O$76</definedName>
    <definedName name="Sixteen_Hide">'SE Manifest'!$A$77:$O$178</definedName>
    <definedName name="Ten">'SE Manifest'!$A$29:$O$58</definedName>
    <definedName name="Ten_Hide">'SE Manifest'!$A$59:$O$178</definedName>
    <definedName name="Thirteen">'SE Manifest'!$A$29:$O$67</definedName>
    <definedName name="Thirteen_Hide">'SE Manifest'!$A$68:$O$178</definedName>
    <definedName name="Thirty">'SE Manifest'!$A$29:$O$118</definedName>
    <definedName name="Thirty_Eight">'SE Manifest'!$A$29:$O$142</definedName>
    <definedName name="Thirty_Eight_Hide">'SE Manifest'!$A$143:$O$178</definedName>
    <definedName name="Thirty_Five">'SE Manifest'!$A$29:$O$133</definedName>
    <definedName name="Thirty_Five_Hide">'SE Manifest'!$A$134:$O$178</definedName>
    <definedName name="Thirty_Four">'SE Manifest'!$A$29:$O$130</definedName>
    <definedName name="Thirty_Four_Hide">'SE Manifest'!$A$131:$O$178</definedName>
    <definedName name="Thirty_Hide">'SE Manifest'!$A$119:$O$178</definedName>
    <definedName name="Thirty_Nine">'SE Manifest'!$A$29:$O$145</definedName>
    <definedName name="Thirty_Nine_Hide">'SE Manifest'!$A$146:$O$178</definedName>
    <definedName name="Thirty_One">'SE Manifest'!$A$29:$O$121</definedName>
    <definedName name="Thirty_One_Hide">'SE Manifest'!$A$122:$O$178</definedName>
    <definedName name="Thirty_Seven">'SE Manifest'!$A$29:$O$139</definedName>
    <definedName name="Thirty_Seven_Hide">'SE Manifest'!$A$140:$O$178</definedName>
    <definedName name="Thirty_Six">'SE Manifest'!$A$29:$O$136</definedName>
    <definedName name="Thirty_Six_Hide">'SE Manifest'!$A$137:$O$178</definedName>
    <definedName name="Thirty_Three">'SE Manifest'!$A$29:$O$127</definedName>
    <definedName name="Thirty_Three_Hide">'SE Manifest'!$A$128:$O$178</definedName>
    <definedName name="Thirty_Two">'SE Manifest'!$A$29:$O$124</definedName>
    <definedName name="Thirty_Two_Hide">'SE Manifest'!$A$125:$O$178</definedName>
    <definedName name="Three">'SE Manifest'!$A$29:$O$37</definedName>
    <definedName name="Three_Hide">'SE Manifest'!$A$38:$O$178</definedName>
    <definedName name="Twelve">'SE Manifest'!$A$29:$O$64</definedName>
    <definedName name="Twelve_Hide">'SE Manifest'!$A$65:$O$178</definedName>
    <definedName name="Twenty">'SE Manifest'!$A$29:$O$88</definedName>
    <definedName name="Twenty_Eight">'SE Manifest'!$A$29:$O$112</definedName>
    <definedName name="Twenty_Eight_Hide">'SE Manifest'!$A$113:$O$178</definedName>
    <definedName name="Twenty_Five">'SE Manifest'!$A$29:$O$103</definedName>
    <definedName name="Twenty_Five_Hide">'SE Manifest'!$A$104:$O$178</definedName>
    <definedName name="Twenty_Four">'SE Manifest'!$A$29:$O$100</definedName>
    <definedName name="Twenty_Four_Hide">'SE Manifest'!$A$101:$O$178</definedName>
    <definedName name="Twenty_Hide">'SE Manifest'!$A$89:$O$178</definedName>
    <definedName name="Twenty_Nine">'SE Manifest'!$A$29:$O$115</definedName>
    <definedName name="Twenty_Nine_Hide">'SE Manifest'!$A$116:$O$178</definedName>
    <definedName name="Twenty_One">'SE Manifest'!$A$29:$O$91</definedName>
    <definedName name="Twenty_One_Hide">'SE Manifest'!$A$92:$O$178</definedName>
    <definedName name="Twenty_Seven">'SE Manifest'!$A$29:$O$109</definedName>
    <definedName name="Twenty_Seven_Hide">'SE Manifest'!$A$110:$O$178</definedName>
    <definedName name="Twenty_Six">'SE Manifest'!$A$29:$O$106</definedName>
    <definedName name="Twenty_Six_Hide">'SE Manifest'!$A$107:$O$178</definedName>
    <definedName name="Twenty_Three">'SE Manifest'!$A$29:$O$97</definedName>
    <definedName name="Twenty_Three_Hide">'SE Manifest'!$A$98:$O$178</definedName>
    <definedName name="Twenty_Two">'SE Manifest'!$A$29:$O$94</definedName>
    <definedName name="Twenty_Two_Hide">'SE Manifest'!$A$95:$O$178</definedName>
    <definedName name="Two">'SE Manifest'!$A$29:$O$34</definedName>
    <definedName name="Two_Hide">'SE Manifest'!$A$35:$O$178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2" l="1"/>
  <c r="F7" i="2" l="1"/>
  <c r="C97" i="2" s="1"/>
  <c r="B7" i="2"/>
  <c r="C96" i="2" s="1"/>
  <c r="M42" i="2" l="1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H42" i="2"/>
  <c r="I42" i="2" s="1"/>
  <c r="H43" i="2"/>
  <c r="I43" i="2" s="1"/>
  <c r="H44" i="2"/>
  <c r="I44" i="2" s="1"/>
  <c r="H45" i="2"/>
  <c r="I45" i="2" s="1"/>
  <c r="H46" i="2"/>
  <c r="I46" i="2" s="1"/>
  <c r="H47" i="2"/>
  <c r="I47" i="2" s="1"/>
  <c r="H48" i="2"/>
  <c r="I48" i="2" s="1"/>
  <c r="H49" i="2"/>
  <c r="I49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I56" i="2" s="1"/>
  <c r="H57" i="2"/>
  <c r="I57" i="2" s="1"/>
  <c r="H58" i="2"/>
  <c r="I58" i="2" s="1"/>
  <c r="H59" i="2"/>
  <c r="I59" i="2" s="1"/>
  <c r="H60" i="2"/>
  <c r="I60" i="2" s="1"/>
  <c r="H61" i="2"/>
  <c r="I61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I68" i="2" s="1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I80" i="2" s="1"/>
  <c r="H81" i="2"/>
  <c r="I81" i="2" s="1"/>
  <c r="H82" i="2"/>
  <c r="I82" i="2" s="1"/>
  <c r="H83" i="2"/>
  <c r="I83" i="2" s="1"/>
  <c r="H84" i="2"/>
  <c r="I84" i="2" s="1"/>
  <c r="H85" i="2"/>
  <c r="I85" i="2" s="1"/>
  <c r="H86" i="2"/>
  <c r="I86" i="2" s="1"/>
  <c r="H87" i="2"/>
  <c r="I87" i="2" s="1"/>
  <c r="H88" i="2"/>
  <c r="I88" i="2" s="1"/>
  <c r="H89" i="2"/>
  <c r="I89" i="2" s="1"/>
  <c r="H90" i="2"/>
  <c r="I90" i="2" s="1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AK93" i="2" l="1"/>
  <c r="AK92" i="2"/>
  <c r="AH92" i="2"/>
  <c r="AH93" i="2"/>
  <c r="AK41" i="2" l="1"/>
  <c r="AH41" i="2"/>
  <c r="AI41" i="2"/>
  <c r="AE41" i="2"/>
  <c r="J41" i="2"/>
  <c r="M41" i="2"/>
  <c r="H41" i="2"/>
  <c r="C41" i="2"/>
  <c r="U34" i="2" l="1"/>
  <c r="U17" i="2"/>
  <c r="C37" i="2"/>
  <c r="J35" i="2"/>
  <c r="C35" i="2"/>
  <c r="U16" i="2"/>
  <c r="C21" i="2"/>
  <c r="C25" i="2"/>
  <c r="C24" i="2"/>
  <c r="C22" i="2"/>
  <c r="C23" i="2"/>
  <c r="I41" i="2" l="1"/>
  <c r="L180" i="1" l="1"/>
  <c r="J180" i="1"/>
  <c r="G180" i="1"/>
  <c r="G92" i="2" s="1"/>
  <c r="AE92" i="2" l="1"/>
  <c r="AE93" i="2"/>
  <c r="AI93" i="2"/>
  <c r="AI92" i="2"/>
  <c r="L27" i="1"/>
  <c r="N27" i="1"/>
  <c r="F25" i="1" l="1"/>
  <c r="A7" i="1" l="1"/>
  <c r="B19" i="1" l="1"/>
  <c r="C14" i="2" s="1"/>
  <c r="I180" i="1"/>
  <c r="D3" i="1" l="1"/>
</calcChain>
</file>

<file path=xl/sharedStrings.xml><?xml version="1.0" encoding="utf-8"?>
<sst xmlns="http://schemas.openxmlformats.org/spreadsheetml/2006/main" count="563" uniqueCount="534">
  <si>
    <t>Load Port:</t>
  </si>
  <si>
    <t>Disch Port:</t>
  </si>
  <si>
    <t>IMPERIAL</t>
  </si>
  <si>
    <t>METRIC</t>
  </si>
  <si>
    <t>MARKS AND NOS</t>
  </si>
  <si>
    <t>DESCRIPTION</t>
  </si>
  <si>
    <t>20' FLAT RACK</t>
  </si>
  <si>
    <t>20' NOR</t>
  </si>
  <si>
    <t>20' OT CONTAINER</t>
  </si>
  <si>
    <t>20' REEFER</t>
  </si>
  <si>
    <t>20' ST CONTAINER</t>
  </si>
  <si>
    <t>40' FLAT RACK</t>
  </si>
  <si>
    <t>40' HC CONTAINER</t>
  </si>
  <si>
    <t>40' NOR</t>
  </si>
  <si>
    <t>40' OT CONTAINER</t>
  </si>
  <si>
    <t>40' REEFER</t>
  </si>
  <si>
    <t>40' ST CONTAINER</t>
  </si>
  <si>
    <t>45' CONTAINER</t>
  </si>
  <si>
    <t>48' FLAT BAD</t>
  </si>
  <si>
    <t>48' STEP DECK</t>
  </si>
  <si>
    <t>53' TRAILER</t>
  </si>
  <si>
    <t># of Shipments to Pack</t>
  </si>
  <si>
    <t>CA-MONTREAL</t>
  </si>
  <si>
    <t>CA-TORONTO</t>
  </si>
  <si>
    <t>CA-VANCOUVER</t>
  </si>
  <si>
    <t>US-ATLANTA</t>
  </si>
  <si>
    <t>US-BALTIMORE</t>
  </si>
  <si>
    <t>US-CHICAGO</t>
  </si>
  <si>
    <t>US-CINCINNATI</t>
  </si>
  <si>
    <t>US-DETROIT</t>
  </si>
  <si>
    <t>US-LONG BEACH</t>
  </si>
  <si>
    <t>US-HOUSTON</t>
  </si>
  <si>
    <t>US-LOS ANGELES</t>
  </si>
  <si>
    <t>US-MIAMI</t>
  </si>
  <si>
    <t>US-MINNEAPOLIS</t>
  </si>
  <si>
    <t>US-CARTERET</t>
  </si>
  <si>
    <t>US-PHILADELPHIA</t>
  </si>
  <si>
    <t>US-SEATTLE</t>
  </si>
  <si>
    <t>AR-BUENOS AIRES</t>
  </si>
  <si>
    <t>BB-BRIDGETOWN</t>
  </si>
  <si>
    <t>BR-CAMPINAS</t>
  </si>
  <si>
    <t>BR-PORTO ALEGRE</t>
  </si>
  <si>
    <t>BR-RIO DE JANEIRO</t>
  </si>
  <si>
    <t>BR-RIO GRANDE</t>
  </si>
  <si>
    <t>BR-SANTOS</t>
  </si>
  <si>
    <t>BR-SAO PAULO</t>
  </si>
  <si>
    <t>CL-SANTIAGO</t>
  </si>
  <si>
    <t>CO-BOGOTA</t>
  </si>
  <si>
    <t>CO-BUENAVENTURA</t>
  </si>
  <si>
    <t>CO-CALI</t>
  </si>
  <si>
    <t>CO-CARTAGENA</t>
  </si>
  <si>
    <t>CO-MEDILLIN</t>
  </si>
  <si>
    <t>CR-SAN JOSE</t>
  </si>
  <si>
    <t>EC-GUAYAQUIL</t>
  </si>
  <si>
    <t>SV-SAN SALVADOR</t>
  </si>
  <si>
    <t>GT-GUATEMALA CITY</t>
  </si>
  <si>
    <t>GY-GEORGETOWN</t>
  </si>
  <si>
    <t>HN-SAN PEDRO SULA</t>
  </si>
  <si>
    <t>JM-KINGSTON</t>
  </si>
  <si>
    <t>MX-GUADALAJARA</t>
  </si>
  <si>
    <t>MX-MANZANILLO</t>
  </si>
  <si>
    <t>MX-MEXICO CITY</t>
  </si>
  <si>
    <t>MX-MONTERREY</t>
  </si>
  <si>
    <t>MX-VERACRUZ</t>
  </si>
  <si>
    <t>NI-MANAGUA</t>
  </si>
  <si>
    <t>PA-COLON</t>
  </si>
  <si>
    <t>PA-PANAMA CITY</t>
  </si>
  <si>
    <t>PY-ASUNCION</t>
  </si>
  <si>
    <t>PE-LIMA</t>
  </si>
  <si>
    <t>TT-PORT OF SPAIN</t>
  </si>
  <si>
    <t>UY-MONTEVIDEO</t>
  </si>
  <si>
    <t>VE-CARACAS</t>
  </si>
  <si>
    <t>AT-VIENNA</t>
  </si>
  <si>
    <t>BE-ANTWERP</t>
  </si>
  <si>
    <t>BG-SOFIA</t>
  </si>
  <si>
    <t>BG-VARNA</t>
  </si>
  <si>
    <t>CY-LIMASSOL</t>
  </si>
  <si>
    <t>CZ-PRAGUE</t>
  </si>
  <si>
    <t>DK-COPENHAGEN</t>
  </si>
  <si>
    <t>FI-HELSINKI</t>
  </si>
  <si>
    <t>FR-LE HAVRE</t>
  </si>
  <si>
    <t>FR-LYON</t>
  </si>
  <si>
    <t>DE-HAMBURG</t>
  </si>
  <si>
    <t>GR-ATHENS</t>
  </si>
  <si>
    <t>HU-BUDAPEST</t>
  </si>
  <si>
    <t>IE-DUBLIN</t>
  </si>
  <si>
    <t>IT-MILAN</t>
  </si>
  <si>
    <t>LT-KLAIPEDA</t>
  </si>
  <si>
    <t>MT-VALETTA</t>
  </si>
  <si>
    <t>NL-ROTTERDAM</t>
  </si>
  <si>
    <t>NO-OSLO</t>
  </si>
  <si>
    <t>PL-GDYNIA</t>
  </si>
  <si>
    <t>PT-LISBON</t>
  </si>
  <si>
    <t>PT-PORTO</t>
  </si>
  <si>
    <t>RO-BUCHAREST</t>
  </si>
  <si>
    <t>RU-ST. PETERSBURG</t>
  </si>
  <si>
    <t>SK-BRATISLAVA</t>
  </si>
  <si>
    <t>SI-KOPER</t>
  </si>
  <si>
    <t>ES-BARCELONA</t>
  </si>
  <si>
    <t>ES-BILBAO</t>
  </si>
  <si>
    <t>SE-GOTHENBURG</t>
  </si>
  <si>
    <t>CH-GENEVA</t>
  </si>
  <si>
    <t>TR-ISTANBUL</t>
  </si>
  <si>
    <t>TR-IZMIR</t>
  </si>
  <si>
    <t>GB-BIRMINGHAM</t>
  </si>
  <si>
    <t>GB-LONDON</t>
  </si>
  <si>
    <t>GB-MANCHESTER</t>
  </si>
  <si>
    <t>DZ-ALGIERS</t>
  </si>
  <si>
    <t>AO-LUANDA</t>
  </si>
  <si>
    <t>BJ-COTONOU</t>
  </si>
  <si>
    <t>BF-OUAGADOUGOU</t>
  </si>
  <si>
    <t>CM-DOUALA</t>
  </si>
  <si>
    <t>DJ-DJIBOUTI</t>
  </si>
  <si>
    <t>EG-ALEXANDRIA</t>
  </si>
  <si>
    <t>EG-CAIRO</t>
  </si>
  <si>
    <t>ET-ADDIS ABABA</t>
  </si>
  <si>
    <t>GH-ACCRA</t>
  </si>
  <si>
    <t>GN-CONKARY</t>
  </si>
  <si>
    <t>CI-ABIDJAN</t>
  </si>
  <si>
    <t>KE-MOMBASA</t>
  </si>
  <si>
    <t>KE-NAIROBI</t>
  </si>
  <si>
    <t>MG-TOAMASINA</t>
  </si>
  <si>
    <t>MU-PORT LOUIS</t>
  </si>
  <si>
    <t>MA-CASABLANCA</t>
  </si>
  <si>
    <t>MZ-MAPUTO</t>
  </si>
  <si>
    <t>NG-LAGOS</t>
  </si>
  <si>
    <t>RE-POINTE DES GALETS</t>
  </si>
  <si>
    <t>SN-DAKAR</t>
  </si>
  <si>
    <t>SL-FREETOWN</t>
  </si>
  <si>
    <t>ZA-CAPE TOWN</t>
  </si>
  <si>
    <t>ZA-DURBAN</t>
  </si>
  <si>
    <t>ZA-JOHANNESBURG</t>
  </si>
  <si>
    <t>ZA-PORT ELIZABETH</t>
  </si>
  <si>
    <t>SD-PORT SUDAN</t>
  </si>
  <si>
    <t>TZ-DAR ES SALAAM</t>
  </si>
  <si>
    <t>TG-LOME</t>
  </si>
  <si>
    <t>TN-TUNIS</t>
  </si>
  <si>
    <t>UG-KAMPALA</t>
  </si>
  <si>
    <t>ZM-LUSAKA</t>
  </si>
  <si>
    <t>BN-BANDAR SERI BEGAWAN</t>
  </si>
  <si>
    <t>KH-PHNOM PENH</t>
  </si>
  <si>
    <t>CN-BEIJING</t>
  </si>
  <si>
    <t>CN-CHONGQING</t>
  </si>
  <si>
    <t>CN-DALIAN</t>
  </si>
  <si>
    <t>CN-FUZHOU</t>
  </si>
  <si>
    <t>CN-GUANGZHOU</t>
  </si>
  <si>
    <t>CN-HANGZHOU</t>
  </si>
  <si>
    <t>CN-NANJING</t>
  </si>
  <si>
    <t>CN-NINGBO</t>
  </si>
  <si>
    <t>CN-QINGDAO</t>
  </si>
  <si>
    <t>CN-SHANGHAI</t>
  </si>
  <si>
    <t>CN-SHENZHEN</t>
  </si>
  <si>
    <t>CN-TIANJIN</t>
  </si>
  <si>
    <t>CN-WUHAN</t>
  </si>
  <si>
    <t>CN-XIAMEN</t>
  </si>
  <si>
    <t>CN-ZHONGSHAN</t>
  </si>
  <si>
    <t>CN-ZHUHAI</t>
  </si>
  <si>
    <t>HK-HONG KONG</t>
  </si>
  <si>
    <t>ID-BATAM</t>
  </si>
  <si>
    <t>ID-BELAWAN</t>
  </si>
  <si>
    <t>ID-JAKARTA</t>
  </si>
  <si>
    <t>ID-SEMARANG</t>
  </si>
  <si>
    <t>ID-SURABAYA</t>
  </si>
  <si>
    <t>JP-OSAKA</t>
  </si>
  <si>
    <t>JP-TOKYO</t>
  </si>
  <si>
    <t>KR-SEOUL</t>
  </si>
  <si>
    <t>MY-BATU PAHAT</t>
  </si>
  <si>
    <t>MY-JOHOR BAHRU</t>
  </si>
  <si>
    <t>MY-PENANG</t>
  </si>
  <si>
    <t>MY-PORT KLANG</t>
  </si>
  <si>
    <t>MM-YANGON</t>
  </si>
  <si>
    <t>PH-CEBU</t>
  </si>
  <si>
    <t>PH-MANILA</t>
  </si>
  <si>
    <t>SG-SINGAPORE</t>
  </si>
  <si>
    <t>TW-KAOHSIUNG</t>
  </si>
  <si>
    <t>TW-TAICHUNG CITY</t>
  </si>
  <si>
    <t>TW-TAIPEI</t>
  </si>
  <si>
    <t>TH-BANGKOK</t>
  </si>
  <si>
    <t>VN-DA NANG</t>
  </si>
  <si>
    <t>VN-HANOI</t>
  </si>
  <si>
    <t>VN-HO CHI MINH CITY</t>
  </si>
  <si>
    <t>AS-PAGO PAGO</t>
  </si>
  <si>
    <t>AU-ADELAIDE</t>
  </si>
  <si>
    <t>AU-BRISBANE</t>
  </si>
  <si>
    <t>AU-FREMANTLE</t>
  </si>
  <si>
    <t>AU-MELBOURNE</t>
  </si>
  <si>
    <t>AU-SYDNEY</t>
  </si>
  <si>
    <t>CK-RAROTONGA</t>
  </si>
  <si>
    <t>FJ-LAUTOKA</t>
  </si>
  <si>
    <t>FJ-SUVA</t>
  </si>
  <si>
    <t>PF-PAPEETE</t>
  </si>
  <si>
    <t>KI-TARAWA</t>
  </si>
  <si>
    <t>NC-NOUMEA</t>
  </si>
  <si>
    <t>NZ-AUCKLAND</t>
  </si>
  <si>
    <t>NZ-CHRISTCHURCH</t>
  </si>
  <si>
    <t>NZ-WELLINGTON</t>
  </si>
  <si>
    <t>PG-ALOTAU</t>
  </si>
  <si>
    <t>PG-LAE</t>
  </si>
  <si>
    <t>PG-LIHIR ISLAND</t>
  </si>
  <si>
    <t>PG-MADANG</t>
  </si>
  <si>
    <t>PG-PORT MORESBY</t>
  </si>
  <si>
    <t>PG-RABAUL</t>
  </si>
  <si>
    <t>WS-APIA</t>
  </si>
  <si>
    <t>SB-HONIARA</t>
  </si>
  <si>
    <t>TO-NUKU'ALOFA</t>
  </si>
  <si>
    <t>VU-PORT VILA</t>
  </si>
  <si>
    <t>BD-CHITTAGONG</t>
  </si>
  <si>
    <t>BD-DHAKA</t>
  </si>
  <si>
    <t>IN-AHMEDABAD</t>
  </si>
  <si>
    <t>IN-BANGALORE</t>
  </si>
  <si>
    <t>IN-BARODA</t>
  </si>
  <si>
    <t>IN-CHENNAI</t>
  </si>
  <si>
    <t>IN-COIMBATORE</t>
  </si>
  <si>
    <t>IN-HYDERABAD</t>
  </si>
  <si>
    <t>IN-JAIPUR</t>
  </si>
  <si>
    <t>IN-JALANDHAR</t>
  </si>
  <si>
    <t>IN-KANPUR</t>
  </si>
  <si>
    <t>IN-KOCHI</t>
  </si>
  <si>
    <t>IN-KOLKATA</t>
  </si>
  <si>
    <t>IN-LUDHIANA</t>
  </si>
  <si>
    <t>IN-MUMBAI</t>
  </si>
  <si>
    <t>IN-NEW DELHI</t>
  </si>
  <si>
    <t>IN-PUNE</t>
  </si>
  <si>
    <t>IN-TIRUPUR</t>
  </si>
  <si>
    <t>IN-TUTICORIN</t>
  </si>
  <si>
    <t>NP-KATHMANDU</t>
  </si>
  <si>
    <t>PK-KARACHI</t>
  </si>
  <si>
    <t>PK-LAHORE</t>
  </si>
  <si>
    <t>LK-COLOMBO</t>
  </si>
  <si>
    <t>BH-BAHRAIN</t>
  </si>
  <si>
    <t>IL-LOD</t>
  </si>
  <si>
    <t>IL-TEL AVIV</t>
  </si>
  <si>
    <t>JO-AMMAN</t>
  </si>
  <si>
    <t>KW-KUWAIT CITY</t>
  </si>
  <si>
    <t>LB-BEIRUT</t>
  </si>
  <si>
    <t>OM-SOHAR</t>
  </si>
  <si>
    <t>QA-DOHA</t>
  </si>
  <si>
    <t>SA-DAMMAM</t>
  </si>
  <si>
    <t>SA-JEDDAH</t>
  </si>
  <si>
    <t>SA-RIYADH</t>
  </si>
  <si>
    <t>AE-ABU DHABI</t>
  </si>
  <si>
    <t>AE-DUBAI</t>
  </si>
  <si>
    <t>Office_Addr</t>
  </si>
  <si>
    <t>[SELECT LOCATION]</t>
  </si>
  <si>
    <t>File Ref:</t>
  </si>
  <si>
    <t>SS Ocean B/L:</t>
  </si>
  <si>
    <t>Cargo Type:</t>
  </si>
  <si>
    <t>Container/Seal:</t>
  </si>
  <si>
    <t>HBL #</t>
  </si>
  <si>
    <t>QTY</t>
  </si>
  <si>
    <t>PKG</t>
  </si>
  <si>
    <t>Manifest Totals:</t>
  </si>
  <si>
    <t/>
  </si>
  <si>
    <t>Vessel Name:</t>
  </si>
  <si>
    <t>Voyage:</t>
  </si>
  <si>
    <t>ETD:</t>
  </si>
  <si>
    <t>ETA:</t>
  </si>
  <si>
    <t>SCAC Code:</t>
  </si>
  <si>
    <t>SS Ref:</t>
  </si>
  <si>
    <t>Master Shipper:</t>
  </si>
  <si>
    <t>Master Consignee:</t>
  </si>
  <si>
    <t>SS Line:</t>
  </si>
  <si>
    <t>CARRIER MANIFEST</t>
  </si>
  <si>
    <t>Freight Terms</t>
  </si>
  <si>
    <t>OBL Type:</t>
  </si>
  <si>
    <t>O (ZERO) ORIGINAL</t>
  </si>
  <si>
    <t>3 (THREE) ORIGINAL</t>
  </si>
  <si>
    <t>HBL Type:</t>
  </si>
  <si>
    <t>ORIGINAL COPY</t>
  </si>
  <si>
    <t>NON-NEGOTIABLE COPY</t>
  </si>
  <si>
    <t>Proof vs. Final:</t>
  </si>
  <si>
    <t>PROOF COPY</t>
  </si>
  <si>
    <t>Bill Of Lading</t>
  </si>
  <si>
    <t>Wgt Type:</t>
  </si>
  <si>
    <t>K</t>
  </si>
  <si>
    <t>#</t>
  </si>
  <si>
    <t>M3</t>
  </si>
  <si>
    <t>CF</t>
  </si>
  <si>
    <t>20'</t>
  </si>
  <si>
    <t>40'</t>
  </si>
  <si>
    <t>45'</t>
  </si>
  <si>
    <t>48'</t>
  </si>
  <si>
    <t>SHIPPER/EXPORTER (2) (COMPLETE NAME AND ADDRESS)</t>
  </si>
  <si>
    <t>EXPORT REFERENCES (6)</t>
  </si>
  <si>
    <t>CONSIGNEE (3) (NAME AND ADDRESS) NOT NEGOTIABLE UNLESS CONSIGNED TO ORDER</t>
  </si>
  <si>
    <t>FORWARDING AGENT REFERENCES (7)</t>
  </si>
  <si>
    <t>POINT AND COUNTRY OF ORIGIN (8)</t>
  </si>
  <si>
    <t>NOTIFY PARTY (4) (COMPLETE NAME AND ADDRESS)</t>
  </si>
  <si>
    <t>PLACE OF RECEIPT (12)</t>
  </si>
  <si>
    <t>PORT OF LOADING (14)</t>
  </si>
  <si>
    <t>PORT OF DISCHARGE (15)</t>
  </si>
  <si>
    <t>PLACE OF DELIVERY (16)</t>
  </si>
  <si>
    <t>PARTICULARS FURNISHED BY SHIPPER</t>
  </si>
  <si>
    <t>PREPAID</t>
  </si>
  <si>
    <t>COLLECT</t>
  </si>
  <si>
    <t>Master Bill Of Lading Draft</t>
  </si>
  <si>
    <t>From:</t>
  </si>
  <si>
    <t>VESSEL (13) FLAG</t>
  </si>
  <si>
    <t>INTERNAL REFERENCE (10)</t>
  </si>
  <si>
    <t>MARKS AND NUMBERS</t>
  </si>
  <si>
    <t>NO. OF PKGS</t>
  </si>
  <si>
    <t>DESCRIPTION OF PACKAGES AND GOODS</t>
  </si>
  <si>
    <t>GROSS WEIGHT</t>
  </si>
  <si>
    <t>MEASUREMENT</t>
  </si>
  <si>
    <t>/</t>
  </si>
  <si>
    <t>Container No.</t>
  </si>
  <si>
    <t>Seal No.</t>
  </si>
  <si>
    <t>Manifest Line Items:</t>
  </si>
  <si>
    <t>TOTAL</t>
  </si>
  <si>
    <t>DOCUMENT PRESENTATION (9)</t>
  </si>
  <si>
    <t>MBL Type</t>
  </si>
  <si>
    <t>ORIGINAL REQUIRED</t>
  </si>
  <si>
    <t>EXPRESS RELEASE</t>
  </si>
  <si>
    <t>Container No / Seal No:</t>
  </si>
  <si>
    <t>ABU DHABI Company Name
Address Line One
Address Line Two
Address Line Three
City Name, Country
Postal Code
PH: 234-567-8910
Email: xxx@xxx.com</t>
  </si>
  <si>
    <t>DUBAI Company Name
Address Line One
Address Line Two
Address Line Three
City Name, Country
Postal Code
PH: 234-567-8910
Email: xxx@xxx.com</t>
  </si>
  <si>
    <t>LUANDA Company Name
Address Line One
Address Line Two
Address Line Three
City Name, Country
Postal Code
PH: 234-567-8910
Email: xxx@xxx.com</t>
  </si>
  <si>
    <t>BUENOS AIRES Company Name
Address Line One
Address Line Two
Address Line Three
City Name, Country
Postal Code
PH: 234-567-8910
Email: xxx@xxx.com</t>
  </si>
  <si>
    <t>PAGO PAGO Company Name
Address Line One
Address Line Two
Address Line Three
City Name, Country
Postal Code
PH: 234-567-8910
Email: xxx@xxx.com</t>
  </si>
  <si>
    <t>VIENNA Company Name
Address Line One
Address Line Two
Address Line Three
City Name, Country
Postal Code
PH: 234-567-8910
Email: xxx@xxx.com</t>
  </si>
  <si>
    <t>ADELAIDE Company Name
Address Line One
Address Line Two
Address Line Three
City Name, Country
Postal Code
PH: 234-567-8910
Email: xxx@xxx.com</t>
  </si>
  <si>
    <t>BRISBANE Company Name
Address Line One
Address Line Two
Address Line Three
City Name, Country
Postal Code
PH: 234-567-8910
Email: xxx@xxx.com</t>
  </si>
  <si>
    <t>FREMANTLE Company Name
Address Line One
Address Line Two
Address Line Three
City Name, Country
Postal Code
PH: 234-567-8910
Email: xxx@xxx.com</t>
  </si>
  <si>
    <t>MELBOURNE Company Name
Address Line One
Address Line Two
Address Line Three
City Name, Country
Postal Code
PH: 234-567-8910
Email: xxx@xxx.com</t>
  </si>
  <si>
    <t>SYDNEY Company Name
Address Line One
Address Line Two
Address Line Three
City Name, Country
Postal Code
PH: 234-567-8910
Email: xxx@xxx.com</t>
  </si>
  <si>
    <t>BRIDGETOWN Company Name
Address Line One
Address Line Two
Address Line Three
City Name, Country
Postal Code
PH: 234-567-8910
Email: xxx@xxx.com</t>
  </si>
  <si>
    <t>CHITTAGONG Company Name
Address Line One
Address Line Two
Address Line Three
City Name, Country
Postal Code
PH: 234-567-8910
Email: xxx@xxx.com</t>
  </si>
  <si>
    <t>DHAKA Company Name
Address Line One
Address Line Two
Address Line Three
City Name, Country
Postal Code
PH: 234-567-8910
Email: xxx@xxx.com</t>
  </si>
  <si>
    <t>ANTWERP Company Name
Address Line One
Address Line Two
Address Line Three
City Name, Country
Postal Code
PH: 234-567-8910
Email: xxx@xxx.com</t>
  </si>
  <si>
    <t>OUAGADOUGOU Company Name
Address Line One
Address Line Two
Address Line Three
City Name, Country
Postal Code
PH: 234-567-8910
Email: xxx@xxx.com</t>
  </si>
  <si>
    <t>SOFIA Company Name
Address Line One
Address Line Two
Address Line Three
City Name, Country
Postal Code
PH: 234-567-8910
Email: xxx@xxx.com</t>
  </si>
  <si>
    <t>VARNA Company Name
Address Line One
Address Line Two
Address Line Three
City Name, Country
Postal Code
PH: 234-567-8910
Email: xxx@xxx.com</t>
  </si>
  <si>
    <t>BAHRAIN Company Name
Address Line One
Address Line Two
Address Line Three
City Name, Country
Postal Code
PH: 234-567-8910
Email: xxx@xxx.com</t>
  </si>
  <si>
    <t>COTONOU Company Name
Address Line One
Address Line Two
Address Line Three
City Name, Country
Postal Code
PH: 234-567-8910
Email: xxx@xxx.com</t>
  </si>
  <si>
    <t>BANDAR SERI BEGAWAN Company Name
Address Line One
Address Line Two
Address Line Three
City Name, Country
Postal Code
PH: 234-567-8910
Email: xxx@xxx.com</t>
  </si>
  <si>
    <t>CAMPINAS Company Name
Address Line One
Address Line Two
Address Line Three
City Name, Country
Postal Code
PH: 234-567-8910
Email: xxx@xxx.com</t>
  </si>
  <si>
    <t>PORTO ALEGRE Company Name
Address Line One
Address Line Two
Address Line Three
City Name, Country
Postal Code
PH: 234-567-8910
Email: xxx@xxx.com</t>
  </si>
  <si>
    <t>RIO DE JANEIRO Company Name
Address Line One
Address Line Two
Address Line Three
City Name, Country
Postal Code
PH: 234-567-8910
Email: xxx@xxx.com</t>
  </si>
  <si>
    <t>RIO GRANDE Company Name
Address Line One
Address Line Two
Address Line Three
City Name, Country
Postal Code
PH: 234-567-8910
Email: xxx@xxx.com</t>
  </si>
  <si>
    <t>SANTOS Company Name
Address Line One
Address Line Two
Address Line Three
City Name, Country
Postal Code
PH: 234-567-8910
Email: xxx@xxx.com</t>
  </si>
  <si>
    <t>SAO PAULO Company Name
Address Line One
Address Line Two
Address Line Three
City Name, Country
Postal Code
PH: 234-567-8910
Email: xxx@xxx.com</t>
  </si>
  <si>
    <t>MONTREAL Company Name
Address Line One
Address Line Two
Address Line Three
City Name, Country
Postal Code
PH: 234-567-8910
Email: xxx@xxx.com</t>
  </si>
  <si>
    <t>TORONTO Company Name
Address Line One
Address Line Two
Address Line Three
City Name, Country
Postal Code
PH: 234-567-8910
Email: xxx@xxx.com</t>
  </si>
  <si>
    <t>VANCOUVER Company Name
Address Line One
Address Line Two
Address Line Three
City Name, Country
Postal Code
PH: 234-567-8910
Email: xxx@xxx.com</t>
  </si>
  <si>
    <t>GENEVA Company Name
Address Line One
Address Line Two
Address Line Three
City Name, Country
Postal Code
PH: 234-567-8910
Email: xxx@xxx.com</t>
  </si>
  <si>
    <t>ABIDJAN Company Name
Address Line One
Address Line Two
Address Line Three
City Name, Country
Postal Code
PH: 234-567-8910
Email: xxx@xxx.com</t>
  </si>
  <si>
    <t>RAROTONGA Company Name
Address Line One
Address Line Two
Address Line Three
City Name, Country
Postal Code
PH: 234-567-8910
Email: xxx@xxx.com</t>
  </si>
  <si>
    <t>SANTIAGO Company Name
Address Line One
Address Line Two
Address Line Three
City Name, Country
Postal Code
PH: 234-567-8910
Email: xxx@xxx.com</t>
  </si>
  <si>
    <t>DOUALA Company Name
Address Line One
Address Line Two
Address Line Three
City Name, Country
Postal Code
PH: 234-567-8910
Email: xxx@xxx.com</t>
  </si>
  <si>
    <t>BEIJING Company Name
Address Line One
Address Line Two
Address Line Three
City Name, Country
Postal Code
PH: 234-567-8910
Email: xxx@xxx.com</t>
  </si>
  <si>
    <t>CHONGQING Company Name
Address Line One
Address Line Two
Address Line Three
City Name, Country
Postal Code
PH: 234-567-8910
Email: xxx@xxx.com</t>
  </si>
  <si>
    <t>DALIAN Company Name
Address Line One
Address Line Two
Address Line Three
City Name, Country
Postal Code
PH: 234-567-8910
Email: xxx@xxx.com</t>
  </si>
  <si>
    <t>FUZHOU Company Name
Address Line One
Address Line Two
Address Line Three
City Name, Country
Postal Code
PH: 234-567-8910
Email: xxx@xxx.com</t>
  </si>
  <si>
    <t>GUANGZHOU Company Name
Address Line One
Address Line Two
Address Line Three
City Name, Country
Postal Code
PH: 234-567-8910
Email: xxx@xxx.com</t>
  </si>
  <si>
    <t>HANGZHOU Company Name
Address Line One
Address Line Two
Address Line Three
City Name, Country
Postal Code
PH: 234-567-8910
Email: xxx@xxx.com</t>
  </si>
  <si>
    <t>NANJING Company Name
Address Line One
Address Line Two
Address Line Three
City Name, Country
Postal Code
PH: 234-567-8910
Email: xxx@xxx.com</t>
  </si>
  <si>
    <t>NINGBO Company Name
Address Line One
Address Line Two
Address Line Three
City Name, Country
Postal Code
PH: 234-567-8910
Email: xxx@xxx.com</t>
  </si>
  <si>
    <t>QINGDAO Company Name
Address Line One
Address Line Two
Address Line Three
City Name, Country
Postal Code
PH: 234-567-8910
Email: xxx@xxx.com</t>
  </si>
  <si>
    <t>SHANGHAI Company Name
Address Line One
Address Line Two
Address Line Three
City Name, Country
Postal Code
PH: 234-567-8910
Email: xxx@xxx.com</t>
  </si>
  <si>
    <t>SHENZHEN Company Name
Address Line One
Address Line Two
Address Line Three
City Name, Country
Postal Code
PH: 234-567-8910
Email: xxx@xxx.com</t>
  </si>
  <si>
    <t>TIANJIN Company Name
Address Line One
Address Line Two
Address Line Three
City Name, Country
Postal Code
PH: 234-567-8910
Email: xxx@xxx.com</t>
  </si>
  <si>
    <t>WUHAN Company Name
Address Line One
Address Line Two
Address Line Three
City Name, Country
Postal Code
PH: 234-567-8910
Email: xxx@xxx.com</t>
  </si>
  <si>
    <t>XIAMEN Company Name
Address Line One
Address Line Two
Address Line Three
City Name, Country
Postal Code
PH: 234-567-8910
Email: xxx@xxx.com</t>
  </si>
  <si>
    <t>ZHONGSHAN Company Name
Address Line One
Address Line Two
Address Line Three
City Name, Country
Postal Code
PH: 234-567-8910
Email: xxx@xxx.com</t>
  </si>
  <si>
    <t>ZHUHAI Company Name
Address Line One
Address Line Two
Address Line Three
City Name, Country
Postal Code
PH: 234-567-8910
Email: xxx@xxx.com</t>
  </si>
  <si>
    <t>BOGOTA Company Name
Address Line One
Address Line Two
Address Line Three
City Name, Country
Postal Code
PH: 234-567-8910
Email: xxx@xxx.com</t>
  </si>
  <si>
    <t>BUENAVENTURA Company Name
Address Line One
Address Line Two
Address Line Three
City Name, Country
Postal Code
PH: 234-567-8910
Email: xxx@xxx.com</t>
  </si>
  <si>
    <t>CALI Company Name
Address Line One
Address Line Two
Address Line Three
City Name, Country
Postal Code
PH: 234-567-8910
Email: xxx@xxx.com</t>
  </si>
  <si>
    <t>CARTAGENA Company Name
Address Line One
Address Line Two
Address Line Three
City Name, Country
Postal Code
PH: 234-567-8910
Email: xxx@xxx.com</t>
  </si>
  <si>
    <t>MEDILLIN Company Name
Address Line One
Address Line Two
Address Line Three
City Name, Country
Postal Code
PH: 234-567-8910
Email: xxx@xxx.com</t>
  </si>
  <si>
    <t>SAN JOSE Company Name
Address Line One
Address Line Two
Address Line Three
City Name, Country
Postal Code
PH: 234-567-8910
Email: xxx@xxx.com</t>
  </si>
  <si>
    <t>LIMASSOL Company Name
Address Line One
Address Line Two
Address Line Three
City Name, Country
Postal Code
PH: 234-567-8910
Email: xxx@xxx.com</t>
  </si>
  <si>
    <t>PRAGUE Company Name
Address Line One
Address Line Two
Address Line Three
City Name, Country
Postal Code
PH: 234-567-8910
Email: xxx@xxx.com</t>
  </si>
  <si>
    <t>HAMBURG Company Name
Address Line One
Address Line Two
Address Line Three
City Name, Country
Postal Code
PH: 234-567-8910
Email: xxx@xxx.com</t>
  </si>
  <si>
    <t>DJIBOUTI Company Name
Address Line One
Address Line Two
Address Line Three
City Name, Country
Postal Code
PH: 234-567-8910
Email: xxx@xxx.com</t>
  </si>
  <si>
    <t>COPENHAGEN Company Name
Address Line One
Address Line Two
Address Line Three
City Name, Country
Postal Code
PH: 234-567-8910
Email: xxx@xxx.com</t>
  </si>
  <si>
    <t>ALGIERS Company Name
Address Line One
Address Line Two
Address Line Three
City Name, Country
Postal Code
PH: 234-567-8910
Email: xxx@xxx.com</t>
  </si>
  <si>
    <t>GUAYAQUIL Company Name
Address Line One
Address Line Two
Address Line Three
City Name, Country
Postal Code
PH: 234-567-8910
Email: xxx@xxx.com</t>
  </si>
  <si>
    <t>ALEXANDRIA Company Name
Address Line One
Address Line Two
Address Line Three
City Name, Country
Postal Code
PH: 234-567-8910
Email: xxx@xxx.com</t>
  </si>
  <si>
    <t>CAIRO Company Name
Address Line One
Address Line Two
Address Line Three
City Name, Country
Postal Code
PH: 234-567-8910
Email: xxx@xxx.com</t>
  </si>
  <si>
    <t>BARCELONA Company Name
Address Line One
Address Line Two
Address Line Three
City Name, Country
Postal Code
PH: 234-567-8910
Email: xxx@xxx.com</t>
  </si>
  <si>
    <t>BILBAO Company Name
Address Line One
Address Line Two
Address Line Three
City Name, Country
Postal Code
PH: 234-567-8910
Email: xxx@xxx.com</t>
  </si>
  <si>
    <t>ADDIS ABABA Company Name
Address Line One
Address Line Two
Address Line Three
City Name, Country
Postal Code
PH: 234-567-8910
Email: xxx@xxx.com</t>
  </si>
  <si>
    <t>HELSINKI Company Name
Address Line One
Address Line Two
Address Line Three
City Name, Country
Postal Code
PH: 234-567-8910
Email: xxx@xxx.com</t>
  </si>
  <si>
    <t>LAUTOKA Company Name
Address Line One
Address Line Two
Address Line Three
City Name, Country
Postal Code
PH: 234-567-8910
Email: xxx@xxx.com</t>
  </si>
  <si>
    <t>SUVA Company Name
Address Line One
Address Line Two
Address Line Three
City Name, Country
Postal Code
PH: 234-567-8910
Email: xxx@xxx.com</t>
  </si>
  <si>
    <t>LE HAVRE Company Name
Address Line One
Address Line Two
Address Line Three
City Name, Country
Postal Code
PH: 234-567-8910
Email: xxx@xxx.com</t>
  </si>
  <si>
    <t>LYON Company Name
Address Line One
Address Line Two
Address Line Three
City Name, Country
Postal Code
PH: 234-567-8910
Email: xxx@xxx.com</t>
  </si>
  <si>
    <t>BIRMINGHAM Company Name
Address Line One
Address Line Two
Address Line Three
City Name, Country
Postal Code
PH: 234-567-8910
Email: xxx@xxx.com</t>
  </si>
  <si>
    <t>LONDON Company Name
Address Line One
Address Line Two
Address Line Three
City Name, Country
Postal Code
PH: 234-567-8910
Email: xxx@xxx.com</t>
  </si>
  <si>
    <t>MANCHESTER Company Name
Address Line One
Address Line Two
Address Line Three
City Name, Country
Postal Code
PH: 234-567-8910
Email: xxx@xxx.com</t>
  </si>
  <si>
    <t>ACCRA Company Name
Address Line One
Address Line Two
Address Line Three
City Name, Country
Postal Code
PH: 234-567-8910
Email: xxx@xxx.com</t>
  </si>
  <si>
    <t>CONKARY Company Name
Address Line One
Address Line Two
Address Line Three
City Name, Country
Postal Code
PH: 234-567-8910
Email: xxx@xxx.com</t>
  </si>
  <si>
    <t>ATHENS Company Name
Address Line One
Address Line Two
Address Line Three
City Name, Country
Postal Code
PH: 234-567-8910
Email: xxx@xxx.com</t>
  </si>
  <si>
    <t>GUATEMALA CITY Company Name
Address Line One
Address Line Two
Address Line Three
City Name, Country
Postal Code
PH: 234-567-8910
Email: xxx@xxx.com</t>
  </si>
  <si>
    <t>GEORGETOWN Company Name
Address Line One
Address Line Two
Address Line Three
City Name, Country
Postal Code
PH: 234-567-8910
Email: xxx@xxx.com</t>
  </si>
  <si>
    <t>HONG KONG Company Name
Address Line One
Address Line Two
Address Line Three
City Name, Country
Postal Code
PH: 234-567-8910
Email: xxx@xxx.com</t>
  </si>
  <si>
    <t>SAN PEDRO SULA Company Name
Address Line One
Address Line Two
Address Line Three
City Name, Country
Postal Code
PH: 234-567-8910
Email: xxx@xxx.com</t>
  </si>
  <si>
    <t>BUDAPEST Company Name
Address Line One
Address Line Two
Address Line Three
City Name, Country
Postal Code
PH: 234-567-8910
Email: xxx@xxx.com</t>
  </si>
  <si>
    <t>BATAM Company Name
Address Line One
Address Line Two
Address Line Three
City Name, Country
Postal Code
PH: 234-567-8910
Email: xxx@xxx.com</t>
  </si>
  <si>
    <t>BELAWAN Company Name
Address Line One
Address Line Two
Address Line Three
City Name, Country
Postal Code
PH: 234-567-8910
Email: xxx@xxx.com</t>
  </si>
  <si>
    <t>JAKARTA Company Name
Address Line One
Address Line Two
Address Line Three
City Name, Country
Postal Code
PH: 234-567-8910
Email: xxx@xxx.com</t>
  </si>
  <si>
    <t>SEMARANG Company Name
Address Line One
Address Line Two
Address Line Three
City Name, Country
Postal Code
PH: 234-567-8910
Email: xxx@xxx.com</t>
  </si>
  <si>
    <t>SURABAYA Company Name
Address Line One
Address Line Two
Address Line Three
City Name, Country
Postal Code
PH: 234-567-8910
Email: xxx@xxx.com</t>
  </si>
  <si>
    <t>DUBLIN Company Name
Address Line One
Address Line Two
Address Line Three
City Name, Country
Postal Code
PH: 234-567-8910
Email: xxx@xxx.com</t>
  </si>
  <si>
    <t>LOD Company Name
Address Line One
Address Line Two
Address Line Three
City Name, Country
Postal Code
PH: 234-567-8910
Email: xxx@xxx.com</t>
  </si>
  <si>
    <t>TEL AVIV Company Name
Address Line One
Address Line Two
Address Line Three
City Name, Country
Postal Code
PH: 234-567-8910
Email: xxx@xxx.com</t>
  </si>
  <si>
    <t>AHMEDABAD Company Name
Address Line One
Address Line Two
Address Line Three
City Name, Country
Postal Code
PH: 234-567-8910
Email: xxx@xxx.com</t>
  </si>
  <si>
    <t>BANGALORE Company Name
Address Line One
Address Line Two
Address Line Three
City Name, Country
Postal Code
PH: 234-567-8910
Email: xxx@xxx.com</t>
  </si>
  <si>
    <t>BARODA Company Name
Address Line One
Address Line Two
Address Line Three
City Name, Country
Postal Code
PH: 234-567-8910
Email: xxx@xxx.com</t>
  </si>
  <si>
    <t>CHENNAI Company Name
Address Line One
Address Line Two
Address Line Three
City Name, Country
Postal Code
PH: 234-567-8910
Email: xxx@xxx.com</t>
  </si>
  <si>
    <t>COIMBATORE Company Name
Address Line One
Address Line Two
Address Line Three
City Name, Country
Postal Code
PH: 234-567-8910
Email: xxx@xxx.com</t>
  </si>
  <si>
    <t>HYDERABAD Company Name
Address Line One
Address Line Two
Address Line Three
City Name, Country
Postal Code
PH: 234-567-8910
Email: xxx@xxx.com</t>
  </si>
  <si>
    <t>JAIPUR Company Name
Address Line One
Address Line Two
Address Line Three
City Name, Country
Postal Code
PH: 234-567-8910
Email: xxx@xxx.com</t>
  </si>
  <si>
    <t>JALANDHAR Company Name
Address Line One
Address Line Two
Address Line Three
City Name, Country
Postal Code
PH: 234-567-8910
Email: xxx@xxx.com</t>
  </si>
  <si>
    <t>KANPUR Company Name
Address Line One
Address Line Two
Address Line Three
City Name, Country
Postal Code
PH: 234-567-8910
Email: xxx@xxx.com</t>
  </si>
  <si>
    <t>KOCHI Company Name
Address Line One
Address Line Two
Address Line Three
City Name, Country
Postal Code
PH: 234-567-8910
Email: xxx@xxx.com</t>
  </si>
  <si>
    <t>KOLKATA Company Name
Address Line One
Address Line Two
Address Line Three
City Name, Country
Postal Code
PH: 234-567-8910
Email: xxx@xxx.com</t>
  </si>
  <si>
    <t>LUDHIANA Company Name
Address Line One
Address Line Two
Address Line Three
City Name, Country
Postal Code
PH: 234-567-8910
Email: xxx@xxx.com</t>
  </si>
  <si>
    <t>MUMBAI Company Name
Address Line One
Address Line Two
Address Line Three
City Name, Country
Postal Code
PH: 234-567-8910
Email: xxx@xxx.com</t>
  </si>
  <si>
    <t>NEW DELHI Company Name
Address Line One
Address Line Two
Address Line Three
City Name, Country
Postal Code
PH: 234-567-8910
Email: xxx@xxx.com</t>
  </si>
  <si>
    <t>PUNE Company Name
Address Line One
Address Line Two
Address Line Three
City Name, Country
Postal Code
PH: 234-567-8910
Email: xxx@xxx.com</t>
  </si>
  <si>
    <t>TIRUPUR Company Name
Address Line One
Address Line Two
Address Line Three
City Name, Country
Postal Code
PH: 234-567-8910
Email: xxx@xxx.com</t>
  </si>
  <si>
    <t>TUTICORIN Company Name
Address Line One
Address Line Two
Address Line Three
City Name, Country
Postal Code
PH: 234-567-8910
Email: xxx@xxx.com</t>
  </si>
  <si>
    <t>MILAN Company Name
Address Line One
Address Line Two
Address Line Three
City Name, Country
Postal Code
PH: 234-567-8910
Email: xxx@xxx.com</t>
  </si>
  <si>
    <t>KINGSTON Company Name
Address Line One
Address Line Two
Address Line Three
City Name, Country
Postal Code
PH: 234-567-8910
Email: xxx@xxx.com</t>
  </si>
  <si>
    <t>AMMAN Company Name
Address Line One
Address Line Two
Address Line Three
City Name, Country
Postal Code
PH: 234-567-8910
Email: xxx@xxx.com</t>
  </si>
  <si>
    <t>OSAKA Company Name
Address Line One
Address Line Two
Address Line Three
City Name, Country
Postal Code
PH: 234-567-8910
Email: xxx@xxx.com</t>
  </si>
  <si>
    <t>TOKYO Company Name
Address Line One
Address Line Two
Address Line Three
City Name, Country
Postal Code
PH: 234-567-8910
Email: xxx@xxx.com</t>
  </si>
  <si>
    <t>MOMBASA Company Name
Address Line One
Address Line Two
Address Line Three
City Name, Country
Postal Code
PH: 234-567-8910
Email: xxx@xxx.com</t>
  </si>
  <si>
    <t>NAIROBI Company Name
Address Line One
Address Line Two
Address Line Three
City Name, Country
Postal Code
PH: 234-567-8910
Email: xxx@xxx.com</t>
  </si>
  <si>
    <t>PHNOM PENH Company Name
Address Line One
Address Line Two
Address Line Three
City Name, Country
Postal Code
PH: 234-567-8910
Email: xxx@xxx.com</t>
  </si>
  <si>
    <t>TARAWA Company Name
Address Line One
Address Line Two
Address Line Three
City Name, Country
Postal Code
PH: 234-567-8910
Email: xxx@xxx.com</t>
  </si>
  <si>
    <t>SEOUL Company Name
Address Line One
Address Line Two
Address Line Three
City Name, Country
Postal Code
PH: 234-567-8910
Email: xxx@xxx.com</t>
  </si>
  <si>
    <t>KUWAIT CITY Company Name
Address Line One
Address Line Two
Address Line Three
City Name, Country
Postal Code
PH: 234-567-8910
Email: xxx@xxx.com</t>
  </si>
  <si>
    <t>BEIRUT Company Name
Address Line One
Address Line Two
Address Line Three
City Name, Country
Postal Code
PH: 234-567-8910
Email: xxx@xxx.com</t>
  </si>
  <si>
    <t>COLOMBO Company Name
Address Line One
Address Line Two
Address Line Three
City Name, Country
Postal Code
PH: 234-567-8910
Email: xxx@xxx.com</t>
  </si>
  <si>
    <t>KLAIPEDA Company Name
Address Line One
Address Line Two
Address Line Three
City Name, Country
Postal Code
PH: 234-567-8910
Email: xxx@xxx.com</t>
  </si>
  <si>
    <t>CASABLANCA Company Name
Address Line One
Address Line Two
Address Line Three
City Name, Country
Postal Code
PH: 234-567-8910
Email: xxx@xxx.com</t>
  </si>
  <si>
    <t>TOAMASINA Company Name
Address Line One
Address Line Two
Address Line Three
City Name, Country
Postal Code
PH: 234-567-8910
Email: xxx@xxx.com</t>
  </si>
  <si>
    <t>YANGON Company Name
Address Line One
Address Line Two
Address Line Three
City Name, Country
Postal Code
PH: 234-567-8910
Email: xxx@xxx.com</t>
  </si>
  <si>
    <t>VALETTA Company Name
Address Line One
Address Line Two
Address Line Three
City Name, Country
Postal Code
PH: 234-567-8910
Email: xxx@xxx.com</t>
  </si>
  <si>
    <t>PORT LOUIS Company Name
Address Line One
Address Line Two
Address Line Three
City Name, Country
Postal Code
PH: 234-567-8910
Email: xxx@xxx.com</t>
  </si>
  <si>
    <t>GUADALAJARA Company Name
Address Line One
Address Line Two
Address Line Three
City Name, Country
Postal Code
PH: 234-567-8910
Email: xxx@xxx.com</t>
  </si>
  <si>
    <t>MANZANILLO Company Name
Address Line One
Address Line Two
Address Line Three
City Name, Country
Postal Code
PH: 234-567-8910
Email: xxx@xxx.com</t>
  </si>
  <si>
    <t>MEXICO CITY Company Name
Address Line One
Address Line Two
Address Line Three
City Name, Country
Postal Code
PH: 234-567-8910
Email: xxx@xxx.com</t>
  </si>
  <si>
    <t>MONTERREY Company Name
Address Line One
Address Line Two
Address Line Three
City Name, Country
Postal Code
PH: 234-567-8910
Email: xxx@xxx.com</t>
  </si>
  <si>
    <t>VERACRUZ Company Name
Address Line One
Address Line Two
Address Line Three
City Name, Country
Postal Code
PH: 234-567-8910
Email: xxx@xxx.com</t>
  </si>
  <si>
    <t>BATU PAHAT Company Name
Address Line One
Address Line Two
Address Line Three
City Name, Country
Postal Code
PH: 234-567-8910
Email: xxx@xxx.com</t>
  </si>
  <si>
    <t>JOHOR BAHRU Company Name
Address Line One
Address Line Two
Address Line Three
City Name, Country
Postal Code
PH: 234-567-8910
Email: xxx@xxx.com</t>
  </si>
  <si>
    <t>PENANG Company Name
Address Line One
Address Line Two
Address Line Three
City Name, Country
Postal Code
PH: 234-567-8910
Email: xxx@xxx.com</t>
  </si>
  <si>
    <t>PORT KLANG Company Name
Address Line One
Address Line Two
Address Line Three
City Name, Country
Postal Code
PH: 234-567-8910
Email: xxx@xxx.com</t>
  </si>
  <si>
    <t>MAPUTO Company Name
Address Line One
Address Line Two
Address Line Three
City Name, Country
Postal Code
PH: 234-567-8910
Email: xxx@xxx.com</t>
  </si>
  <si>
    <t>NOUMEA Company Name
Address Line One
Address Line Two
Address Line Three
City Name, Country
Postal Code
PH: 234-567-8910
Email: xxx@xxx.com</t>
  </si>
  <si>
    <t>LAGOS Company Name
Address Line One
Address Line Two
Address Line Three
City Name, Country
Postal Code
PH: 234-567-8910
Email: xxx@xxx.com</t>
  </si>
  <si>
    <t>MANAGUA Company Name
Address Line One
Address Line Two
Address Line Three
City Name, Country
Postal Code
PH: 234-567-8910
Email: xxx@xxx.com</t>
  </si>
  <si>
    <t>ROTTERDAM Company Name
Address Line One
Address Line Two
Address Line Three
City Name, Country
Postal Code
PH: 234-567-8910
Email: xxx@xxx.com</t>
  </si>
  <si>
    <t>OSLO Company Name
Address Line One
Address Line Two
Address Line Three
City Name, Country
Postal Code
PH: 234-567-8910
Email: xxx@xxx.com</t>
  </si>
  <si>
    <t>KATHMANDU Company Name
Address Line One
Address Line Two
Address Line Three
City Name, Country
Postal Code
PH: 234-567-8910
Email: xxx@xxx.com</t>
  </si>
  <si>
    <t>AUCKLAND Company Name
Address Line One
Address Line Two
Address Line Three
City Name, Country
Postal Code
PH: 234-567-8910
Email: xxx@xxx.com</t>
  </si>
  <si>
    <t>CHRISTCHURCH Company Name
Address Line One
Address Line Two
Address Line Three
City Name, Country
Postal Code
PH: 234-567-8910
Email: xxx@xxx.com</t>
  </si>
  <si>
    <t>WELLINGTON Company Name
Address Line One
Address Line Two
Address Line Three
City Name, Country
Postal Code
PH: 234-567-8910
Email: xxx@xxx.com</t>
  </si>
  <si>
    <t>SOHAR Company Name
Address Line One
Address Line Two
Address Line Three
City Name, Country
Postal Code
PH: 234-567-8910
Email: xxx@xxx.com</t>
  </si>
  <si>
    <t>COLON Company Name
Address Line One
Address Line Two
Address Line Three
City Name, Country
Postal Code
PH: 234-567-8910
Email: xxx@xxx.com</t>
  </si>
  <si>
    <t>PANAMA CITY Company Name
Address Line One
Address Line Two
Address Line Three
City Name, Country
Postal Code
PH: 234-567-8910
Email: xxx@xxx.com</t>
  </si>
  <si>
    <t>LIMA Company Name
Address Line One
Address Line Two
Address Line Three
City Name, Country
Postal Code
PH: 234-567-8910
Email: xxx@xxx.com</t>
  </si>
  <si>
    <t>PAPEETE Company Name
Address Line One
Address Line Two
Address Line Three
City Name, Country
Postal Code
PH: 234-567-8910
Email: xxx@xxx.com</t>
  </si>
  <si>
    <t>ALOTAU Company Name
Address Line One
Address Line Two
Address Line Three
City Name, Country
Postal Code
PH: 234-567-8910
Email: xxx@xxx.com</t>
  </si>
  <si>
    <t>LAE Company Name
Address Line One
Address Line Two
Address Line Three
City Name, Country
Postal Code
PH: 234-567-8910
Email: xxx@xxx.com</t>
  </si>
  <si>
    <t>LIHIR ISLAND Company Name
Address Line One
Address Line Two
Address Line Three
City Name, Country
Postal Code
PH: 234-567-8910
Email: xxx@xxx.com</t>
  </si>
  <si>
    <t>MADANG Company Name
Address Line One
Address Line Two
Address Line Three
City Name, Country
Postal Code
PH: 234-567-8910
Email: xxx@xxx.com</t>
  </si>
  <si>
    <t>PORT MORESBY Company Name
Address Line One
Address Line Two
Address Line Three
City Name, Country
Postal Code
PH: 234-567-8910
Email: xxx@xxx.com</t>
  </si>
  <si>
    <t>RABAUL Company Name
Address Line One
Address Line Two
Address Line Three
City Name, Country
Postal Code
PH: 234-567-8910
Email: xxx@xxx.com</t>
  </si>
  <si>
    <t>CEBU Company Name
Address Line One
Address Line Two
Address Line Three
City Name, Country
Postal Code
PH: 234-567-8910
Email: xxx@xxx.com</t>
  </si>
  <si>
    <t>MANILA Company Name
Address Line One
Address Line Two
Address Line Three
City Name, Country
Postal Code
PH: 234-567-8910
Email: xxx@xxx.com</t>
  </si>
  <si>
    <t>KARACHI Company Name
Address Line One
Address Line Two
Address Line Three
City Name, Country
Postal Code
PH: 234-567-8910
Email: xxx@xxx.com</t>
  </si>
  <si>
    <t>LAHORE Company Name
Address Line One
Address Line Two
Address Line Three
City Name, Country
Postal Code
PH: 234-567-8910
Email: xxx@xxx.com</t>
  </si>
  <si>
    <t>GDYNIA Company Name
Address Line One
Address Line Two
Address Line Three
City Name, Country
Postal Code
PH: 234-567-8910
Email: xxx@xxx.com</t>
  </si>
  <si>
    <t>LISBON Company Name
Address Line One
Address Line Two
Address Line Three
City Name, Country
Postal Code
PH: 234-567-8910
Email: xxx@xxx.com</t>
  </si>
  <si>
    <t>PORTO Company Name
Address Line One
Address Line Two
Address Line Three
City Name, Country
Postal Code
PH: 234-567-8910
Email: xxx@xxx.com</t>
  </si>
  <si>
    <t>ASUNCION Company Name
Address Line One
Address Line Two
Address Line Three
City Name, Country
Postal Code
PH: 234-567-8910
Email: xxx@xxx.com</t>
  </si>
  <si>
    <t>DOHA Company Name
Address Line One
Address Line Two
Address Line Three
City Name, Country
Postal Code
PH: 234-567-8910
Email: xxx@xxx.com</t>
  </si>
  <si>
    <t>POINTE DES GALETS Company Name
Address Line One
Address Line Two
Address Line Three
City Name, Country
Postal Code
PH: 234-567-8910
Email: xxx@xxx.com</t>
  </si>
  <si>
    <t>BUCHAREST Company Name
Address Line One
Address Line Two
Address Line Three
City Name, Country
Postal Code
PH: 234-567-8910
Email: xxx@xxx.com</t>
  </si>
  <si>
    <t>ST. PETERSBURG Company Name
Address Line One
Address Line Two
Address Line Three
City Name, Country
Postal Code
PH: 234-567-8910
Email: xxx@xxx.com</t>
  </si>
  <si>
    <t>DAMMAM Company Name
Address Line One
Address Line Two
Address Line Three
City Name, Country
Postal Code
PH: 234-567-8910
Email: xxx@xxx.com</t>
  </si>
  <si>
    <t>JEDDAH Company Name
Address Line One
Address Line Two
Address Line Three
City Name, Country
Postal Code
PH: 234-567-8910
Email: xxx@xxx.com</t>
  </si>
  <si>
    <t>RIYADH Company Name
Address Line One
Address Line Two
Address Line Three
City Name, Country
Postal Code
PH: 234-567-8910
Email: xxx@xxx.com</t>
  </si>
  <si>
    <t>HONIARA Company Name
Address Line One
Address Line Two
Address Line Three
City Name, Country
Postal Code
PH: 234-567-8910
Email: xxx@xxx.com</t>
  </si>
  <si>
    <t>PORT SUDAN Company Name
Address Line One
Address Line Two
Address Line Three
City Name, Country
Postal Code
PH: 234-567-8910
Email: xxx@xxx.com</t>
  </si>
  <si>
    <t>GOTHENBURG Company Name
Address Line One
Address Line Two
Address Line Three
City Name, Country
Postal Code
PH: 234-567-8910
Email: xxx@xxx.com</t>
  </si>
  <si>
    <t>SINGAPORE Company Name
Address Line One
Address Line Two
Address Line Three
City Name, Country
Postal Code
PH: 234-567-8910
Email: xxx@xxx.com</t>
  </si>
  <si>
    <t>KOPER Company Name
Address Line One
Address Line Two
Address Line Three
City Name, Country
Postal Code
PH: 234-567-8910
Email: xxx@xxx.com</t>
  </si>
  <si>
    <t>BRATISLAVA Company Name
Address Line One
Address Line Two
Address Line Three
City Name, Country
Postal Code
PH: 234-567-8910
Email: xxx@xxx.com</t>
  </si>
  <si>
    <t>FREETOWN Company Name
Address Line One
Address Line Two
Address Line Three
City Name, Country
Postal Code
PH: 234-567-8910
Email: xxx@xxx.com</t>
  </si>
  <si>
    <t>DAKAR Company Name
Address Line One
Address Line Two
Address Line Three
City Name, Country
Postal Code
PH: 234-567-8910
Email: xxx@xxx.com</t>
  </si>
  <si>
    <t>SAN SALVADOR Company Name
Address Line One
Address Line Two
Address Line Three
City Name, Country
Postal Code
PH: 234-567-8910
Email: xxx@xxx.com</t>
  </si>
  <si>
    <t>LOME Company Name
Address Line One
Address Line Two
Address Line Three
City Name, Country
Postal Code
PH: 234-567-8910
Email: xxx@xxx.com</t>
  </si>
  <si>
    <t>BANGKOK Company Name
Address Line One
Address Line Two
Address Line Three
City Name, Country
Postal Code
PH: 234-567-8910
Email: xxx@xxx.com</t>
  </si>
  <si>
    <t>TUNIS Company Name
Address Line One
Address Line Two
Address Line Three
City Name, Country
Postal Code
PH: 234-567-8910
Email: xxx@xxx.com</t>
  </si>
  <si>
    <t>NUKU'ALOFA Company Name
Address Line One
Address Line Two
Address Line Three
City Name, Country
Postal Code
PH: 234-567-8910
Email: xxx@xxx.com</t>
  </si>
  <si>
    <t>ISTANBUL Company Name
Address Line One
Address Line Two
Address Line Three
City Name, Country
Postal Code
PH: 234-567-8910
Email: xxx@xxx.com</t>
  </si>
  <si>
    <t>IZMIR Company Name
Address Line One
Address Line Two
Address Line Three
City Name, Country
Postal Code
PH: 234-567-8910
Email: xxx@xxx.com</t>
  </si>
  <si>
    <t>PORT OF SPAIN Company Name
Address Line One
Address Line Two
Address Line Three
City Name, Country
Postal Code
PH: 234-567-8910
Email: xxx@xxx.com</t>
  </si>
  <si>
    <t>KAOHSIUNG Company Name
Address Line One
Address Line Two
Address Line Three
City Name, Country
Postal Code
PH: 234-567-8910
Email: xxx@xxx.com</t>
  </si>
  <si>
    <t>TAICHUNG CITY Company Name
Address Line One
Address Line Two
Address Line Three
City Name, Country
Postal Code
PH: 234-567-8910
Email: xxx@xxx.com</t>
  </si>
  <si>
    <t>TAIPEI Company Name
Address Line One
Address Line Two
Address Line Three
City Name, Country
Postal Code
PH: 234-567-8910
Email: xxx@xxx.com</t>
  </si>
  <si>
    <t>DAR ES SALAAM Company Name
Address Line One
Address Line Two
Address Line Three
City Name, Country
Postal Code
PH: 234-567-8910
Email: xxx@xxx.com</t>
  </si>
  <si>
    <t>KAMPALA Company Name
Address Line One
Address Line Two
Address Line Three
City Name, Country
Postal Code
PH: 234-567-8910
Email: xxx@xxx.com</t>
  </si>
  <si>
    <t>ATLANTA Company Name
Address Line One
Address Line Two
Address Line Three
City Name, Country
Postal Code
PH: 234-567-8910
Email: xxx@xxx.com</t>
  </si>
  <si>
    <t>BALTIMORE Company Name
Address Line One
Address Line Two
Address Line Three
City Name, Country
Postal Code
PH: 234-567-8910
Email: xxx@xxx.com</t>
  </si>
  <si>
    <t>CARTERET Company Name
Address Line One
Address Line Two
Address Line Three
City Name, Country
Postal Code
PH: 234-567-8910
Email: xxx@xxx.com</t>
  </si>
  <si>
    <t>CHICAGO Company Name
Address Line One
Address Line Two
Address Line Three
City Name, Country
Postal Code
PH: 234-567-8910
Email: xxx@xxx.com</t>
  </si>
  <si>
    <t>CINCINNATI Company Name
Address Line One
Address Line Two
Address Line Three
City Name, Country
Postal Code
PH: 234-567-8910
Email: xxx@xxx.com</t>
  </si>
  <si>
    <t>DETROIT Company Name
Address Line One
Address Line Two
Address Line Three
City Name, Country
Postal Code
PH: 234-567-8910
Email: xxx@xxx.com</t>
  </si>
  <si>
    <t>HOUSTON Company Name
Address Line One
Address Line Two
Address Line Three
City Name, Country
Postal Code
PH: 234-567-8910
Email: xxx@xxx.com</t>
  </si>
  <si>
    <t>LONG BEACH Company Name
Address Line One
Address Line Two
Address Line Three
City Name, Country
Postal Code
PH: 234-567-8910
Email: xxx@xxx.com</t>
  </si>
  <si>
    <t>LOS ANGELES Company Name
Address Line One
Address Line Two
Address Line Three
City Name, Country
Postal Code
PH: 234-567-8910
Email: xxx@xxx.com</t>
  </si>
  <si>
    <t>MIAMI Company Name
Address Line One
Address Line Two
Address Line Three
City Name, Country
Postal Code
PH: 234-567-8910
Email: xxx@xxx.com</t>
  </si>
  <si>
    <t>MINNEAPOLIS Company Name
Address Line One
Address Line Two
Address Line Three
City Name, Country
Postal Code
PH: 234-567-8910
Email: xxx@xxx.com</t>
  </si>
  <si>
    <t>PHILADELPHIA Company Name
Address Line One
Address Line Two
Address Line Three
City Name, Country
Postal Code
PH: 234-567-8910
Email: xxx@xxx.com</t>
  </si>
  <si>
    <t>SEATTLE Company Name
Address Line One
Address Line Two
Address Line Three
City Name, Country
Postal Code
PH: 234-567-8910
Email: xxx@xxx.com</t>
  </si>
  <si>
    <t>MONTEVIDEO Company Name
Address Line One
Address Line Two
Address Line Three
City Name, Country
Postal Code
PH: 234-567-8910
Email: xxx@xxx.com</t>
  </si>
  <si>
    <t>CARACAS Company Name
Address Line One
Address Line Two
Address Line Three
City Name, Country
Postal Code
PH: 234-567-8910
Email: xxx@xxx.com</t>
  </si>
  <si>
    <t>DA NANG Company Name
Address Line One
Address Line Two
Address Line Three
City Name, Country
Postal Code
PH: 234-567-8910
Email: xxx@xxx.com</t>
  </si>
  <si>
    <t>HANOI Company Name
Address Line One
Address Line Two
Address Line Three
City Name, Country
Postal Code
PH: 234-567-8910
Email: xxx@xxx.com</t>
  </si>
  <si>
    <t>HO CHI MINH CITY Company Name
Address Line One
Address Line Two
Address Line Three
City Name, Country
Postal Code
PH: 234-567-8910
Email: xxx@xxx.com</t>
  </si>
  <si>
    <t>PORT VILA Company Name
Address Line One
Address Line Two
Address Line Three
City Name, Country
Postal Code
PH: 234-567-8910
Email: xxx@xxx.com</t>
  </si>
  <si>
    <t>APIA Company Name
Address Line One
Address Line Two
Address Line Three
City Name, Country
Postal Code
PH: 234-567-8910
Email: xxx@xxx.com</t>
  </si>
  <si>
    <t>CAPE TOWN Company Name
Address Line One
Address Line Two
Address Line Three
City Name, Country
Postal Code
PH: 234-567-8910
Email: xxx@xxx.com</t>
  </si>
  <si>
    <t>DURBAN Company Name
Address Line One
Address Line Two
Address Line Three
City Name, Country
Postal Code
PH: 234-567-8910
Email: xxx@xxx.com</t>
  </si>
  <si>
    <t>JOHANNESBURG Company Name
Address Line One
Address Line Two
Address Line Three
City Name, Country
Postal Code
PH: 234-567-8910
Email: xxx@xxx.com</t>
  </si>
  <si>
    <t>PORT ELIZABETH Company Name
Address Line One
Address Line Two
Address Line Three
City Name, Country
Postal Code
PH: 234-567-8910
Email: xxx@xxx.com</t>
  </si>
  <si>
    <t>LUSAKA Company Name
Address Line One
Address Line Two
Address Line Three
City Name, Country
Postal Code
PH: 234-567-8910
Email: xxx@xxx.com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</si>
</sst>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#,##0.000"/>
    <numFmt numFmtId="165" formatCode="[$-409]dd\-mmm\-yy;@"/>
    <numFmt numFmtId="166" formatCode="#"/>
    <numFmt numFmtId="167" formatCode="[$-409]d\-mmm\-yy;@"/>
    <numFmt numFmtId="168" formatCode="#,##0.0000"/>
    <numFmt numFmtId="169" formatCode="m/d/yyyy;@"/>
    <numFmt numFmtId="170" formatCode="0.000"/>
    <numFmt numFmtId="171" formatCode="0.0000"/>
  </numFmts>
  <fonts count="42">
    <font>
      <sz val="11"/>
      <color theme="1"/>
      <name val="Calibri"/>
      <family val="2"/>
      <scheme val="minor"/>
    </font>
    <font>
      <sz val="16"/>
      <color theme="1"/>
      <name val="Times New Roman"/>
      <family val="1"/>
    </font>
    <font>
      <sz val="18"/>
      <color theme="1"/>
      <name val="Times New Roman"/>
      <family val="1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2"/>
      <color theme="1"/>
      <name val="Times New Roman"/>
      <family val="1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Times New Roman"/>
      <family val="1"/>
    </font>
    <font>
      <sz val="20"/>
      <color theme="1"/>
      <name val="Calibri"/>
      <family val="2"/>
      <scheme val="minor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name val="Times New Roman"/>
      <family val="1"/>
    </font>
    <font>
      <b/>
      <u/>
      <sz val="16"/>
      <color theme="1"/>
      <name val="Calibri"/>
      <family val="2"/>
      <scheme val="minor"/>
    </font>
    <font>
      <sz val="28"/>
      <name val="Arial Black"/>
      <family val="2"/>
    </font>
    <font>
      <b/>
      <sz val="22"/>
      <color theme="1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sz val="16"/>
      <name val="Courier New"/>
      <family val="3"/>
    </font>
    <font>
      <b/>
      <sz val="18"/>
      <name val="Times New Roman"/>
      <family val="1"/>
    </font>
    <font>
      <sz val="12"/>
      <color indexed="12"/>
      <name val="新細明體"/>
      <family val="1"/>
      <charset val="136"/>
    </font>
    <font>
      <sz val="16"/>
      <name val="Calibri"/>
      <family val="2"/>
      <scheme val="minor"/>
    </font>
    <font>
      <sz val="16"/>
      <color indexed="12"/>
      <name val="Times New Roman"/>
      <family val="1"/>
    </font>
    <font>
      <sz val="18"/>
      <name val="Courier New"/>
      <family val="3"/>
    </font>
    <font>
      <sz val="18"/>
      <color theme="1"/>
      <name val="Courier New"/>
      <family val="3"/>
    </font>
    <font>
      <b/>
      <sz val="20"/>
      <name val="Times New Roman"/>
      <family val="1"/>
    </font>
    <font>
      <sz val="18"/>
      <name val="Times New Roman"/>
      <family val="1"/>
    </font>
    <font>
      <sz val="8"/>
      <name val="新細明體"/>
      <family val="1"/>
      <charset val="136"/>
    </font>
    <font>
      <sz val="22"/>
      <color theme="1"/>
      <name val="Arial"/>
      <family val="2"/>
    </font>
    <font>
      <sz val="16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20"/>
      <name val="Arial"/>
      <family val="2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9">
    <xf numFmtId="0" fontId="0" fillId="0" borderId="0" xfId="0"/>
    <xf numFmtId="0" fontId="0" fillId="2" borderId="0" xfId="0" applyFill="1" applyProtection="1"/>
    <xf numFmtId="0" fontId="6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right"/>
    </xf>
    <xf numFmtId="0" fontId="3" fillId="2" borderId="0" xfId="0" applyFont="1" applyFill="1" applyBorder="1" applyAlignment="1" applyProtection="1"/>
    <xf numFmtId="0" fontId="3" fillId="2" borderId="0" xfId="0" applyFont="1" applyFill="1" applyProtection="1"/>
    <xf numFmtId="0" fontId="3" fillId="2" borderId="0" xfId="0" applyFont="1" applyFill="1" applyAlignment="1" applyProtection="1">
      <alignment horizontal="left"/>
    </xf>
    <xf numFmtId="0" fontId="3" fillId="2" borderId="0" xfId="0" applyFont="1" applyFill="1" applyBorder="1" applyProtection="1"/>
    <xf numFmtId="0" fontId="6" fillId="2" borderId="0" xfId="0" applyFont="1" applyFill="1" applyBorder="1" applyAlignment="1" applyProtection="1">
      <alignment horizontal="center"/>
    </xf>
    <xf numFmtId="165" fontId="3" fillId="2" borderId="0" xfId="0" applyNumberFormat="1" applyFont="1" applyFill="1" applyAlignment="1" applyProtection="1">
      <alignment horizontal="left"/>
    </xf>
    <xf numFmtId="14" fontId="3" fillId="2" borderId="0" xfId="0" applyNumberFormat="1" applyFont="1" applyFill="1" applyAlignment="1" applyProtection="1">
      <alignment horizontal="left"/>
    </xf>
    <xf numFmtId="0" fontId="1" fillId="2" borderId="0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5" fillId="2" borderId="0" xfId="0" applyFont="1" applyFill="1" applyProtection="1"/>
    <xf numFmtId="0" fontId="5" fillId="2" borderId="0" xfId="0" applyFont="1" applyFill="1" applyAlignment="1" applyProtection="1">
      <alignment horizontal="right"/>
    </xf>
    <xf numFmtId="0" fontId="3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left" vertical="center" wrapText="1"/>
    </xf>
    <xf numFmtId="1" fontId="3" fillId="2" borderId="0" xfId="0" applyNumberFormat="1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4" fontId="3" fillId="2" borderId="0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right"/>
    </xf>
    <xf numFmtId="3" fontId="2" fillId="2" borderId="0" xfId="0" applyNumberFormat="1" applyFont="1" applyFill="1" applyAlignment="1" applyProtection="1">
      <alignment horizontal="center"/>
    </xf>
    <xf numFmtId="0" fontId="2" fillId="2" borderId="0" xfId="0" applyFont="1" applyFill="1" applyAlignment="1" applyProtection="1"/>
    <xf numFmtId="4" fontId="2" fillId="2" borderId="0" xfId="0" applyNumberFormat="1" applyFont="1" applyFill="1" applyAlignment="1" applyProtection="1">
      <alignment horizontal="center"/>
    </xf>
    <xf numFmtId="164" fontId="2" fillId="2" borderId="0" xfId="0" applyNumberFormat="1" applyFont="1" applyFill="1" applyAlignment="1" applyProtection="1">
      <alignment horizontal="center"/>
    </xf>
    <xf numFmtId="0" fontId="4" fillId="2" borderId="0" xfId="0" applyFont="1" applyFill="1" applyProtection="1"/>
    <xf numFmtId="0" fontId="0" fillId="2" borderId="0" xfId="0" applyFont="1" applyFill="1" applyAlignment="1" applyProtection="1"/>
    <xf numFmtId="0" fontId="0" fillId="0" borderId="0" xfId="0" applyFont="1" applyFill="1" applyAlignment="1" applyProtection="1"/>
    <xf numFmtId="0" fontId="1" fillId="2" borderId="0" xfId="0" applyFont="1" applyFill="1" applyBorder="1" applyAlignment="1" applyProtection="1">
      <alignment horizontal="right"/>
    </xf>
    <xf numFmtId="0" fontId="0" fillId="6" borderId="17" xfId="0" applyFont="1" applyFill="1" applyBorder="1" applyAlignment="1"/>
    <xf numFmtId="0" fontId="0" fillId="0" borderId="17" xfId="0" applyFont="1" applyBorder="1" applyAlignment="1"/>
    <xf numFmtId="0" fontId="0" fillId="0" borderId="16" xfId="0" applyFont="1" applyBorder="1" applyAlignment="1"/>
    <xf numFmtId="0" fontId="3" fillId="2" borderId="0" xfId="0" applyFont="1" applyFill="1" applyBorder="1" applyAlignment="1" applyProtection="1">
      <alignment horizontal="center"/>
    </xf>
    <xf numFmtId="165" fontId="3" fillId="2" borderId="0" xfId="0" applyNumberFormat="1" applyFont="1" applyFill="1" applyBorder="1" applyAlignment="1" applyProtection="1">
      <alignment horizontal="left"/>
    </xf>
    <xf numFmtId="0" fontId="0" fillId="2" borderId="0" xfId="0" applyFont="1" applyFill="1" applyAlignment="1" applyProtection="1">
      <protection locked="0"/>
    </xf>
    <xf numFmtId="0" fontId="5" fillId="2" borderId="8" xfId="0" applyFont="1" applyFill="1" applyBorder="1" applyAlignment="1" applyProtection="1">
      <alignment horizontal="center" vertical="center"/>
    </xf>
    <xf numFmtId="0" fontId="12" fillId="2" borderId="0" xfId="0" applyFont="1" applyFill="1" applyProtection="1"/>
    <xf numFmtId="0" fontId="10" fillId="5" borderId="20" xfId="0" applyFont="1" applyFill="1" applyBorder="1" applyAlignment="1"/>
    <xf numFmtId="0" fontId="0" fillId="6" borderId="20" xfId="0" applyFont="1" applyFill="1" applyBorder="1" applyAlignment="1"/>
    <xf numFmtId="0" fontId="0" fillId="0" borderId="20" xfId="0" applyFont="1" applyBorder="1" applyAlignment="1"/>
    <xf numFmtId="0" fontId="10" fillId="5" borderId="17" xfId="0" applyFont="1" applyFill="1" applyBorder="1"/>
    <xf numFmtId="0" fontId="0" fillId="6" borderId="17" xfId="0" applyFont="1" applyFill="1" applyBorder="1"/>
    <xf numFmtId="0" fontId="0" fillId="0" borderId="16" xfId="0" applyFont="1" applyBorder="1"/>
    <xf numFmtId="0" fontId="3" fillId="2" borderId="1" xfId="0" applyFont="1" applyFill="1" applyBorder="1" applyAlignment="1" applyProtection="1">
      <alignment horizontal="center" vertical="top"/>
      <protection locked="0"/>
    </xf>
    <xf numFmtId="0" fontId="3" fillId="2" borderId="0" xfId="0" applyFont="1" applyFill="1" applyBorder="1" applyAlignment="1" applyProtection="1">
      <alignment vertical="top"/>
      <protection locked="0"/>
    </xf>
    <xf numFmtId="0" fontId="3" fillId="2" borderId="0" xfId="0" applyFont="1" applyFill="1" applyBorder="1" applyAlignment="1" applyProtection="1">
      <alignment vertical="top"/>
    </xf>
    <xf numFmtId="0" fontId="1" fillId="2" borderId="0" xfId="0" applyFont="1" applyFill="1" applyBorder="1" applyAlignment="1" applyProtection="1">
      <alignment horizontal="right" vertical="top"/>
    </xf>
    <xf numFmtId="0" fontId="1" fillId="2" borderId="0" xfId="0" applyFont="1" applyFill="1" applyAlignment="1" applyProtection="1">
      <alignment horizontal="right" vertical="top" wrapText="1"/>
    </xf>
    <xf numFmtId="166" fontId="3" fillId="2" borderId="1" xfId="0" applyNumberFormat="1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/>
    </xf>
    <xf numFmtId="0" fontId="5" fillId="2" borderId="8" xfId="0" applyFont="1" applyFill="1" applyBorder="1" applyAlignment="1" applyProtection="1">
      <alignment vertical="center"/>
    </xf>
    <xf numFmtId="0" fontId="5" fillId="2" borderId="9" xfId="0" applyFont="1" applyFill="1" applyBorder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</xf>
    <xf numFmtId="0" fontId="5" fillId="2" borderId="11" xfId="0" applyFont="1" applyFill="1" applyBorder="1" applyAlignment="1" applyProtection="1">
      <alignment vertical="center"/>
    </xf>
    <xf numFmtId="0" fontId="5" fillId="2" borderId="12" xfId="0" applyFont="1" applyFill="1" applyBorder="1" applyAlignment="1" applyProtection="1">
      <alignment vertical="center"/>
    </xf>
    <xf numFmtId="166" fontId="3" fillId="2" borderId="0" xfId="0" applyNumberFormat="1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right" vertical="top"/>
    </xf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Protection="1"/>
    <xf numFmtId="3" fontId="2" fillId="2" borderId="0" xfId="0" applyNumberFormat="1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/>
    <xf numFmtId="4" fontId="2" fillId="2" borderId="0" xfId="0" applyNumberFormat="1" applyFont="1" applyFill="1" applyBorder="1" applyAlignment="1" applyProtection="1">
      <alignment horizontal="center"/>
    </xf>
    <xf numFmtId="164" fontId="2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Protection="1"/>
    <xf numFmtId="0" fontId="15" fillId="2" borderId="0" xfId="0" applyFont="1" applyFill="1" applyAlignment="1" applyProtection="1">
      <alignment horizontal="right"/>
    </xf>
    <xf numFmtId="0" fontId="16" fillId="2" borderId="0" xfId="0" applyFont="1" applyFill="1" applyAlignment="1" applyProtection="1">
      <alignment horizontal="right"/>
    </xf>
    <xf numFmtId="0" fontId="15" fillId="2" borderId="0" xfId="0" applyFont="1" applyFill="1" applyProtection="1"/>
    <xf numFmtId="3" fontId="15" fillId="2" borderId="0" xfId="0" applyNumberFormat="1" applyFont="1" applyFill="1" applyAlignment="1" applyProtection="1">
      <alignment horizontal="left"/>
    </xf>
    <xf numFmtId="0" fontId="15" fillId="2" borderId="0" xfId="0" applyFont="1" applyFill="1" applyAlignment="1" applyProtection="1"/>
    <xf numFmtId="0" fontId="16" fillId="2" borderId="0" xfId="0" applyNumberFormat="1" applyFont="1" applyFill="1" applyAlignment="1" applyProtection="1">
      <alignment horizontal="right"/>
    </xf>
    <xf numFmtId="4" fontId="15" fillId="2" borderId="0" xfId="0" applyNumberFormat="1" applyFont="1" applyFill="1" applyAlignment="1" applyProtection="1">
      <alignment horizontal="center" vertical="center"/>
    </xf>
    <xf numFmtId="0" fontId="18" fillId="2" borderId="0" xfId="0" applyFont="1" applyFill="1" applyProtection="1"/>
    <xf numFmtId="0" fontId="3" fillId="2" borderId="0" xfId="0" applyFont="1" applyFill="1" applyAlignment="1" applyProtection="1">
      <alignment horizontal="right"/>
    </xf>
    <xf numFmtId="0" fontId="20" fillId="2" borderId="0" xfId="0" applyFont="1" applyFill="1" applyAlignment="1" applyProtection="1"/>
    <xf numFmtId="169" fontId="4" fillId="2" borderId="0" xfId="0" applyNumberFormat="1" applyFont="1" applyFill="1" applyBorder="1" applyAlignment="1" applyProtection="1"/>
    <xf numFmtId="0" fontId="22" fillId="2" borderId="8" xfId="0" applyFont="1" applyFill="1" applyBorder="1" applyProtection="1"/>
    <xf numFmtId="0" fontId="17" fillId="2" borderId="8" xfId="0" applyFont="1" applyFill="1" applyBorder="1" applyProtection="1"/>
    <xf numFmtId="0" fontId="22" fillId="2" borderId="7" xfId="0" applyFont="1" applyFill="1" applyBorder="1" applyProtection="1"/>
    <xf numFmtId="0" fontId="23" fillId="2" borderId="8" xfId="0" applyFont="1" applyFill="1" applyBorder="1" applyProtection="1"/>
    <xf numFmtId="0" fontId="1" fillId="2" borderId="8" xfId="0" applyFont="1" applyFill="1" applyBorder="1" applyProtection="1"/>
    <xf numFmtId="0" fontId="17" fillId="2" borderId="0" xfId="0" applyFont="1" applyFill="1" applyBorder="1" applyProtection="1"/>
    <xf numFmtId="0" fontId="26" fillId="2" borderId="0" xfId="0" applyFont="1" applyFill="1" applyBorder="1" applyProtection="1"/>
    <xf numFmtId="0" fontId="25" fillId="2" borderId="0" xfId="0" applyFont="1" applyFill="1" applyBorder="1" applyAlignment="1" applyProtection="1">
      <alignment vertical="center"/>
    </xf>
    <xf numFmtId="0" fontId="23" fillId="2" borderId="15" xfId="0" applyFont="1" applyFill="1" applyBorder="1" applyAlignment="1" applyProtection="1">
      <alignment horizontal="left"/>
    </xf>
    <xf numFmtId="0" fontId="17" fillId="2" borderId="15" xfId="0" applyFont="1" applyFill="1" applyBorder="1" applyProtection="1"/>
    <xf numFmtId="0" fontId="1" fillId="2" borderId="0" xfId="0" applyFont="1" applyFill="1" applyBorder="1" applyProtection="1"/>
    <xf numFmtId="0" fontId="23" fillId="2" borderId="15" xfId="0" applyFont="1" applyFill="1" applyBorder="1" applyProtection="1"/>
    <xf numFmtId="0" fontId="17" fillId="2" borderId="11" xfId="0" applyFont="1" applyFill="1" applyBorder="1" applyAlignment="1" applyProtection="1"/>
    <xf numFmtId="0" fontId="27" fillId="2" borderId="11" xfId="0" applyFont="1" applyFill="1" applyBorder="1" applyAlignment="1" applyProtection="1"/>
    <xf numFmtId="0" fontId="17" fillId="2" borderId="11" xfId="0" applyFont="1" applyFill="1" applyBorder="1" applyProtection="1"/>
    <xf numFmtId="0" fontId="23" fillId="2" borderId="11" xfId="0" applyFont="1" applyFill="1" applyBorder="1" applyAlignment="1" applyProtection="1">
      <alignment horizontal="right"/>
    </xf>
    <xf numFmtId="0" fontId="1" fillId="2" borderId="11" xfId="0" applyFont="1" applyFill="1" applyBorder="1" applyProtection="1"/>
    <xf numFmtId="0" fontId="17" fillId="2" borderId="9" xfId="0" applyFont="1" applyFill="1" applyBorder="1" applyProtection="1"/>
    <xf numFmtId="0" fontId="17" fillId="2" borderId="18" xfId="0" applyFont="1" applyFill="1" applyBorder="1" applyProtection="1"/>
    <xf numFmtId="0" fontId="17" fillId="2" borderId="12" xfId="0" applyFont="1" applyFill="1" applyBorder="1" applyProtection="1"/>
    <xf numFmtId="0" fontId="17" fillId="2" borderId="10" xfId="0" applyFont="1" applyFill="1" applyBorder="1" applyProtection="1"/>
    <xf numFmtId="0" fontId="28" fillId="2" borderId="8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22" fillId="2" borderId="0" xfId="0" applyFont="1" applyFill="1" applyBorder="1" applyProtection="1"/>
    <xf numFmtId="0" fontId="23" fillId="2" borderId="0" xfId="0" applyFont="1" applyFill="1" applyBorder="1" applyAlignment="1" applyProtection="1"/>
    <xf numFmtId="0" fontId="1" fillId="2" borderId="11" xfId="0" applyFont="1" applyFill="1" applyBorder="1" applyAlignment="1" applyProtection="1">
      <alignment vertical="center"/>
    </xf>
    <xf numFmtId="0" fontId="24" fillId="2" borderId="8" xfId="0" applyFont="1" applyFill="1" applyBorder="1" applyAlignment="1" applyProtection="1"/>
    <xf numFmtId="0" fontId="23" fillId="2" borderId="8" xfId="0" applyFont="1" applyFill="1" applyBorder="1" applyAlignment="1" applyProtection="1"/>
    <xf numFmtId="0" fontId="23" fillId="2" borderId="9" xfId="0" applyFont="1" applyFill="1" applyBorder="1" applyAlignment="1" applyProtection="1"/>
    <xf numFmtId="0" fontId="30" fillId="2" borderId="0" xfId="0" applyFont="1" applyFill="1" applyBorder="1" applyAlignment="1" applyProtection="1">
      <alignment vertical="center"/>
    </xf>
    <xf numFmtId="0" fontId="23" fillId="2" borderId="15" xfId="0" applyFont="1" applyFill="1" applyBorder="1" applyAlignment="1" applyProtection="1"/>
    <xf numFmtId="0" fontId="17" fillId="2" borderId="0" xfId="0" applyFont="1" applyFill="1" applyBorder="1" applyAlignment="1" applyProtection="1"/>
    <xf numFmtId="0" fontId="1" fillId="2" borderId="15" xfId="0" applyFont="1" applyFill="1" applyBorder="1" applyAlignment="1" applyProtection="1">
      <alignment horizontal="left"/>
    </xf>
    <xf numFmtId="0" fontId="25" fillId="2" borderId="11" xfId="0" applyFont="1" applyFill="1" applyBorder="1" applyAlignment="1" applyProtection="1">
      <alignment horizontal="left" vertical="center"/>
    </xf>
    <xf numFmtId="0" fontId="25" fillId="2" borderId="0" xfId="0" applyFont="1" applyFill="1" applyBorder="1" applyAlignment="1" applyProtection="1">
      <alignment horizontal="left" vertical="center"/>
    </xf>
    <xf numFmtId="0" fontId="32" fillId="2" borderId="0" xfId="0" applyFont="1" applyFill="1" applyBorder="1" applyProtection="1"/>
    <xf numFmtId="1" fontId="24" fillId="2" borderId="0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left" vertical="center"/>
    </xf>
    <xf numFmtId="0" fontId="32" fillId="2" borderId="0" xfId="0" applyFont="1" applyFill="1" applyBorder="1" applyAlignment="1" applyProtection="1">
      <alignment horizontal="left" vertical="center"/>
    </xf>
    <xf numFmtId="0" fontId="0" fillId="2" borderId="0" xfId="0" applyFill="1" applyAlignment="1" applyProtection="1">
      <alignment horizontal="left" vertical="center"/>
    </xf>
    <xf numFmtId="0" fontId="33" fillId="2" borderId="0" xfId="0" applyFont="1" applyFill="1" applyBorder="1" applyProtection="1"/>
    <xf numFmtId="0" fontId="33" fillId="2" borderId="0" xfId="0" applyFont="1" applyFill="1" applyProtection="1"/>
    <xf numFmtId="0" fontId="22" fillId="2" borderId="7" xfId="0" applyFont="1" applyFill="1" applyBorder="1" applyAlignment="1" applyProtection="1"/>
    <xf numFmtId="0" fontId="3" fillId="2" borderId="0" xfId="0" applyNumberFormat="1" applyFont="1" applyFill="1" applyProtection="1"/>
    <xf numFmtId="166" fontId="3" fillId="2" borderId="0" xfId="0" applyNumberFormat="1" applyFont="1" applyFill="1" applyAlignment="1" applyProtection="1">
      <alignment horizontal="center" vertical="center"/>
      <protection locked="0"/>
    </xf>
    <xf numFmtId="0" fontId="35" fillId="2" borderId="0" xfId="0" applyFont="1" applyFill="1" applyBorder="1" applyProtection="1"/>
    <xf numFmtId="0" fontId="35" fillId="2" borderId="18" xfId="0" applyFont="1" applyFill="1" applyBorder="1" applyAlignment="1" applyProtection="1">
      <alignment wrapText="1"/>
    </xf>
    <xf numFmtId="0" fontId="35" fillId="2" borderId="15" xfId="0" applyFont="1" applyFill="1" applyBorder="1" applyAlignment="1" applyProtection="1">
      <alignment wrapText="1"/>
    </xf>
    <xf numFmtId="0" fontId="35" fillId="2" borderId="0" xfId="0" applyFont="1" applyFill="1" applyBorder="1" applyAlignment="1" applyProtection="1">
      <alignment horizontal="center" vertical="center" wrapText="1"/>
    </xf>
    <xf numFmtId="0" fontId="37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left" vertical="center"/>
    </xf>
    <xf numFmtId="49" fontId="24" fillId="2" borderId="0" xfId="0" applyNumberFormat="1" applyFont="1" applyFill="1" applyBorder="1" applyAlignment="1" applyProtection="1">
      <alignment horizontal="center" vertical="center"/>
    </xf>
    <xf numFmtId="170" fontId="24" fillId="2" borderId="0" xfId="0" applyNumberFormat="1" applyFont="1" applyFill="1" applyBorder="1" applyAlignment="1" applyProtection="1">
      <alignment horizontal="center" vertical="center"/>
    </xf>
    <xf numFmtId="0" fontId="35" fillId="2" borderId="0" xfId="0" applyFont="1" applyFill="1" applyBorder="1" applyAlignment="1" applyProtection="1">
      <alignment horizontal="left"/>
    </xf>
    <xf numFmtId="0" fontId="3" fillId="2" borderId="0" xfId="0" applyFont="1" applyFill="1" applyAlignment="1" applyProtection="1"/>
    <xf numFmtId="0" fontId="35" fillId="2" borderId="0" xfId="0" applyFont="1" applyFill="1" applyBorder="1" applyAlignment="1" applyProtection="1">
      <alignment horizontal="center" vertical="center"/>
    </xf>
    <xf numFmtId="0" fontId="35" fillId="2" borderId="0" xfId="0" applyFont="1" applyFill="1" applyBorder="1" applyAlignment="1" applyProtection="1">
      <alignment horizontal="left" vertical="center"/>
    </xf>
    <xf numFmtId="0" fontId="35" fillId="2" borderId="0" xfId="0" applyFont="1" applyFill="1" applyBorder="1" applyAlignment="1" applyProtection="1">
      <alignment horizontal="left" vertical="top"/>
    </xf>
    <xf numFmtId="2" fontId="24" fillId="2" borderId="0" xfId="0" applyNumberFormat="1" applyFont="1" applyFill="1" applyBorder="1" applyAlignment="1" applyProtection="1">
      <alignment horizontal="center" vertical="center"/>
    </xf>
    <xf numFmtId="0" fontId="41" fillId="2" borderId="0" xfId="0" applyFont="1" applyFill="1" applyBorder="1" applyProtection="1"/>
    <xf numFmtId="0" fontId="41" fillId="2" borderId="0" xfId="0" applyFont="1" applyFill="1" applyBorder="1" applyAlignment="1" applyProtection="1">
      <alignment horizontal="left"/>
    </xf>
    <xf numFmtId="0" fontId="41" fillId="2" borderId="0" xfId="0" applyFont="1" applyFill="1" applyBorder="1" applyAlignment="1" applyProtection="1">
      <alignment horizontal="left" vertical="center"/>
    </xf>
    <xf numFmtId="2" fontId="24" fillId="2" borderId="0" xfId="0" applyNumberFormat="1" applyFont="1" applyFill="1" applyBorder="1" applyAlignment="1" applyProtection="1">
      <alignment horizontal="left" vertical="center"/>
    </xf>
    <xf numFmtId="0" fontId="37" fillId="2" borderId="0" xfId="0" applyFont="1" applyFill="1" applyBorder="1" applyAlignment="1" applyProtection="1">
      <alignment horizontal="right"/>
    </xf>
    <xf numFmtId="2" fontId="37" fillId="2" borderId="0" xfId="0" applyNumberFormat="1" applyFont="1" applyFill="1" applyBorder="1" applyAlignment="1" applyProtection="1">
      <alignment horizontal="center" vertical="center"/>
    </xf>
    <xf numFmtId="0" fontId="39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/>
    </xf>
    <xf numFmtId="0" fontId="22" fillId="2" borderId="0" xfId="0" applyFont="1" applyFill="1" applyBorder="1" applyAlignment="1" applyProtection="1">
      <alignment vertical="center"/>
    </xf>
    <xf numFmtId="49" fontId="29" fillId="2" borderId="15" xfId="0" applyNumberFormat="1" applyFont="1" applyFill="1" applyBorder="1" applyAlignment="1" applyProtection="1"/>
    <xf numFmtId="0" fontId="35" fillId="2" borderId="0" xfId="0" applyNumberFormat="1" applyFont="1" applyFill="1" applyBorder="1" applyAlignment="1" applyProtection="1">
      <alignment horizontal="center" vertical="center" wrapText="1"/>
    </xf>
    <xf numFmtId="0" fontId="35" fillId="2" borderId="18" xfId="0" applyNumberFormat="1" applyFont="1" applyFill="1" applyBorder="1" applyAlignment="1" applyProtection="1">
      <alignment horizontal="left" vertical="center" wrapText="1"/>
    </xf>
    <xf numFmtId="0" fontId="35" fillId="2" borderId="0" xfId="0" applyNumberFormat="1" applyFont="1" applyFill="1" applyBorder="1" applyAlignment="1" applyProtection="1">
      <alignment horizontal="left" vertical="center" wrapText="1"/>
    </xf>
    <xf numFmtId="0" fontId="3" fillId="2" borderId="0" xfId="0" applyFont="1" applyFill="1" applyAlignment="1" applyProtection="1">
      <protection locked="0"/>
    </xf>
    <xf numFmtId="0" fontId="0" fillId="0" borderId="0" xfId="0" applyFont="1" applyFill="1" applyAlignment="1" applyProtection="1">
      <alignment wrapText="1"/>
    </xf>
    <xf numFmtId="166" fontId="3" fillId="2" borderId="3" xfId="0" applyNumberFormat="1" applyFont="1" applyFill="1" applyBorder="1" applyAlignment="1" applyProtection="1">
      <alignment horizontal="center" vertical="center" wrapText="1"/>
      <protection locked="0"/>
    </xf>
    <xf numFmtId="166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166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3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4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14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3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2" borderId="1" xfId="0" applyNumberFormat="1" applyFont="1" applyFill="1" applyBorder="1" applyAlignment="1" applyProtection="1">
      <alignment horizontal="left" vertical="center" wrapText="1"/>
      <protection locked="0"/>
    </xf>
    <xf numFmtId="166" fontId="3" fillId="2" borderId="0" xfId="0" applyNumberFormat="1" applyFont="1" applyFill="1" applyBorder="1" applyAlignment="1" applyProtection="1">
      <alignment horizontal="left" vertical="center" wrapText="1"/>
      <protection locked="0"/>
    </xf>
    <xf numFmtId="166" fontId="3" fillId="2" borderId="3" xfId="0" applyNumberFormat="1" applyFont="1" applyFill="1" applyBorder="1" applyAlignment="1" applyProtection="1">
      <alignment horizontal="left" vertical="center" wrapText="1"/>
      <protection locked="0"/>
    </xf>
    <xf numFmtId="166" fontId="11" fillId="2" borderId="2" xfId="0" applyNumberFormat="1" applyFont="1" applyFill="1" applyBorder="1" applyAlignment="1" applyProtection="1">
      <alignment horizontal="center" vertical="center" wrapText="1"/>
      <protection locked="0"/>
    </xf>
    <xf numFmtId="166" fontId="11" fillId="2" borderId="3" xfId="0" applyNumberFormat="1" applyFont="1" applyFill="1" applyBorder="1" applyAlignment="1" applyProtection="1">
      <alignment horizontal="center" vertical="center" wrapText="1"/>
      <protection locked="0"/>
    </xf>
    <xf numFmtId="166" fontId="3" fillId="2" borderId="13" xfId="0" applyNumberFormat="1" applyFont="1" applyFill="1" applyBorder="1" applyAlignment="1" applyProtection="1">
      <alignment horizontal="left" vertical="center" wrapText="1"/>
      <protection locked="0"/>
    </xf>
    <xf numFmtId="166" fontId="3" fillId="2" borderId="5" xfId="0" applyNumberFormat="1" applyFont="1" applyFill="1" applyBorder="1" applyAlignment="1" applyProtection="1">
      <alignment horizontal="left" vertical="center" wrapText="1"/>
      <protection locked="0"/>
    </xf>
    <xf numFmtId="16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66" fontId="3" fillId="2" borderId="8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8" xfId="0" applyNumberFormat="1" applyFont="1" applyFill="1" applyBorder="1" applyAlignment="1" applyProtection="1">
      <alignment horizontal="center" vertical="center" wrapText="1"/>
      <protection locked="0"/>
    </xf>
    <xf numFmtId="168" fontId="3" fillId="2" borderId="19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8" xfId="0" applyNumberFormat="1" applyFont="1" applyFill="1" applyBorder="1" applyAlignment="1" applyProtection="1">
      <alignment horizontal="center" vertical="center" wrapText="1"/>
      <protection locked="0"/>
    </xf>
    <xf numFmtId="166" fontId="3" fillId="2" borderId="8" xfId="0" applyNumberFormat="1" applyFont="1" applyFill="1" applyBorder="1" applyAlignment="1" applyProtection="1">
      <alignment horizontal="left" vertical="center" wrapText="1"/>
      <protection locked="0"/>
    </xf>
    <xf numFmtId="0" fontId="6" fillId="2" borderId="0" xfId="0" applyFont="1" applyFill="1" applyBorder="1" applyAlignment="1" applyProtection="1">
      <alignment horizontal="center"/>
    </xf>
    <xf numFmtId="0" fontId="13" fillId="2" borderId="11" xfId="0" applyFont="1" applyFill="1" applyBorder="1" applyAlignment="1" applyProtection="1">
      <alignment horizontal="center"/>
      <protection locked="0"/>
    </xf>
    <xf numFmtId="0" fontId="5" fillId="2" borderId="11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center" vertical="center"/>
    </xf>
    <xf numFmtId="0" fontId="7" fillId="4" borderId="15" xfId="0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Border="1" applyAlignment="1" applyProtection="1">
      <alignment horizontal="center" vertical="center"/>
      <protection locked="0"/>
    </xf>
    <xf numFmtId="0" fontId="5" fillId="2" borderId="10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1" fillId="2" borderId="0" xfId="0" applyFont="1" applyFill="1" applyAlignment="1" applyProtection="1">
      <alignment horizontal="left" vertical="center" wrapText="1"/>
    </xf>
    <xf numFmtId="167" fontId="3" fillId="2" borderId="1" xfId="0" applyNumberFormat="1" applyFont="1" applyFill="1" applyBorder="1" applyAlignment="1" applyProtection="1">
      <alignment horizontal="left"/>
      <protection locked="0"/>
    </xf>
    <xf numFmtId="0" fontId="9" fillId="2" borderId="0" xfId="0" applyFont="1" applyFill="1" applyAlignment="1" applyProtection="1">
      <alignment horizontal="left" vertical="center"/>
    </xf>
    <xf numFmtId="166" fontId="3" fillId="2" borderId="1" xfId="0" applyNumberFormat="1" applyFont="1" applyFill="1" applyBorder="1" applyAlignment="1" applyProtection="1">
      <alignment horizontal="left"/>
      <protection locked="0"/>
    </xf>
    <xf numFmtId="0" fontId="5" fillId="2" borderId="15" xfId="0" applyFont="1" applyFill="1" applyBorder="1" applyAlignment="1" applyProtection="1">
      <alignment horizontal="center" vertical="center"/>
    </xf>
    <xf numFmtId="167" fontId="3" fillId="2" borderId="1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center"/>
    </xf>
    <xf numFmtId="0" fontId="5" fillId="2" borderId="7" xfId="0" applyFont="1" applyFill="1" applyBorder="1" applyAlignment="1" applyProtection="1">
      <alignment horizontal="center" vertical="center"/>
    </xf>
    <xf numFmtId="164" fontId="15" fillId="2" borderId="0" xfId="0" applyNumberFormat="1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left" vertical="top" wrapText="1"/>
    </xf>
    <xf numFmtId="166" fontId="3" fillId="2" borderId="0" xfId="0" applyNumberFormat="1" applyFont="1" applyFill="1" applyBorder="1" applyAlignment="1" applyProtection="1">
      <alignment horizontal="left" vertical="top"/>
      <protection locked="0"/>
    </xf>
    <xf numFmtId="166" fontId="35" fillId="2" borderId="0" xfId="0" applyNumberFormat="1" applyFont="1" applyFill="1" applyBorder="1" applyAlignment="1" applyProtection="1">
      <alignment horizontal="left" vertical="center"/>
    </xf>
    <xf numFmtId="166" fontId="35" fillId="2" borderId="0" xfId="0" applyNumberFormat="1" applyFont="1" applyFill="1" applyBorder="1" applyAlignment="1" applyProtection="1">
      <alignment horizontal="left" vertical="top"/>
    </xf>
    <xf numFmtId="0" fontId="35" fillId="2" borderId="0" xfId="0" applyFont="1" applyFill="1" applyBorder="1" applyAlignment="1" applyProtection="1">
      <alignment horizontal="left" vertical="center"/>
    </xf>
    <xf numFmtId="0" fontId="18" fillId="2" borderId="0" xfId="0" applyFont="1" applyFill="1" applyAlignment="1" applyProtection="1">
      <alignment horizontal="center"/>
    </xf>
    <xf numFmtId="170" fontId="24" fillId="2" borderId="0" xfId="0" applyNumberFormat="1" applyFont="1" applyFill="1" applyBorder="1" applyAlignment="1" applyProtection="1">
      <alignment horizontal="left" vertical="center"/>
    </xf>
    <xf numFmtId="170" fontId="37" fillId="2" borderId="0" xfId="0" applyNumberFormat="1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/>
    </xf>
    <xf numFmtId="0" fontId="37" fillId="2" borderId="0" xfId="0" applyFont="1" applyFill="1" applyBorder="1" applyAlignment="1" applyProtection="1">
      <alignment horizontal="center"/>
    </xf>
    <xf numFmtId="49" fontId="24" fillId="2" borderId="0" xfId="0" applyNumberFormat="1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/>
    </xf>
    <xf numFmtId="170" fontId="24" fillId="2" borderId="0" xfId="0" applyNumberFormat="1" applyFont="1" applyFill="1" applyBorder="1" applyAlignment="1" applyProtection="1">
      <alignment horizontal="center" vertical="center"/>
    </xf>
    <xf numFmtId="0" fontId="35" fillId="2" borderId="0" xfId="0" applyFont="1" applyFill="1" applyBorder="1" applyAlignment="1" applyProtection="1">
      <alignment horizontal="left"/>
      <protection locked="0"/>
    </xf>
    <xf numFmtId="0" fontId="36" fillId="2" borderId="0" xfId="0" applyFont="1" applyFill="1" applyBorder="1" applyAlignment="1" applyProtection="1">
      <alignment horizontal="left"/>
      <protection locked="0"/>
    </xf>
    <xf numFmtId="0" fontId="40" fillId="2" borderId="0" xfId="0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horizontal="left" vertical="center" wrapText="1"/>
    </xf>
    <xf numFmtId="0" fontId="35" fillId="2" borderId="15" xfId="0" applyNumberFormat="1" applyFont="1" applyFill="1" applyBorder="1" applyAlignment="1" applyProtection="1">
      <alignment horizontal="right" vertical="center" wrapText="1"/>
    </xf>
    <xf numFmtId="0" fontId="35" fillId="2" borderId="0" xfId="0" applyNumberFormat="1" applyFont="1" applyFill="1" applyBorder="1" applyAlignment="1" applyProtection="1">
      <alignment horizontal="right" vertical="center" wrapText="1"/>
    </xf>
    <xf numFmtId="171" fontId="35" fillId="2" borderId="15" xfId="0" applyNumberFormat="1" applyFont="1" applyFill="1" applyBorder="1" applyAlignment="1" applyProtection="1">
      <alignment horizontal="right" vertical="center" wrapText="1"/>
    </xf>
    <xf numFmtId="171" fontId="35" fillId="2" borderId="0" xfId="0" applyNumberFormat="1" applyFont="1" applyFill="1" applyBorder="1" applyAlignment="1" applyProtection="1">
      <alignment horizontal="right" vertical="center" wrapText="1"/>
    </xf>
    <xf numFmtId="0" fontId="31" fillId="2" borderId="8" xfId="0" applyFont="1" applyFill="1" applyBorder="1" applyAlignment="1" applyProtection="1">
      <alignment horizontal="center"/>
    </xf>
    <xf numFmtId="0" fontId="29" fillId="2" borderId="11" xfId="0" applyFont="1" applyFill="1" applyBorder="1" applyAlignment="1" applyProtection="1">
      <alignment horizontal="center" vertical="center"/>
    </xf>
    <xf numFmtId="49" fontId="29" fillId="2" borderId="11" xfId="0" applyNumberFormat="1" applyFont="1" applyFill="1" applyBorder="1" applyAlignment="1" applyProtection="1">
      <alignment horizontal="left" vertical="center"/>
    </xf>
    <xf numFmtId="0" fontId="22" fillId="2" borderId="21" xfId="0" applyFont="1" applyFill="1" applyBorder="1" applyAlignment="1" applyProtection="1">
      <alignment horizontal="center" vertical="center"/>
    </xf>
    <xf numFmtId="0" fontId="22" fillId="2" borderId="22" xfId="0" applyFont="1" applyFill="1" applyBorder="1" applyAlignment="1" applyProtection="1">
      <alignment horizontal="center" vertical="center"/>
    </xf>
    <xf numFmtId="0" fontId="22" fillId="2" borderId="23" xfId="0" applyFont="1" applyFill="1" applyBorder="1" applyAlignment="1" applyProtection="1">
      <alignment horizontal="center" vertical="center"/>
    </xf>
    <xf numFmtId="0" fontId="22" fillId="2" borderId="24" xfId="0" applyFont="1" applyFill="1" applyBorder="1" applyAlignment="1" applyProtection="1">
      <alignment horizontal="center" vertical="center"/>
    </xf>
    <xf numFmtId="0" fontId="22" fillId="2" borderId="25" xfId="0" applyFont="1" applyFill="1" applyBorder="1" applyAlignment="1" applyProtection="1">
      <alignment horizontal="center" vertical="center"/>
    </xf>
    <xf numFmtId="0" fontId="35" fillId="2" borderId="11" xfId="0" applyNumberFormat="1" applyFont="1" applyFill="1" applyBorder="1" applyAlignment="1" applyProtection="1">
      <alignment horizontal="left"/>
    </xf>
    <xf numFmtId="0" fontId="35" fillId="2" borderId="12" xfId="0" applyNumberFormat="1" applyFont="1" applyFill="1" applyBorder="1" applyAlignment="1" applyProtection="1">
      <alignment horizontal="left"/>
    </xf>
    <xf numFmtId="0" fontId="35" fillId="2" borderId="10" xfId="0" applyNumberFormat="1" applyFont="1" applyFill="1" applyBorder="1" applyAlignment="1" applyProtection="1">
      <alignment horizontal="left"/>
    </xf>
    <xf numFmtId="0" fontId="35" fillId="2" borderId="10" xfId="0" applyNumberFormat="1" applyFont="1" applyFill="1" applyBorder="1" applyAlignment="1" applyProtection="1">
      <alignment horizontal="left"/>
      <protection locked="0"/>
    </xf>
    <xf numFmtId="0" fontId="35" fillId="2" borderId="11" xfId="0" applyNumberFormat="1" applyFont="1" applyFill="1" applyBorder="1" applyAlignment="1" applyProtection="1">
      <alignment horizontal="left"/>
      <protection locked="0"/>
    </xf>
    <xf numFmtId="0" fontId="17" fillId="2" borderId="10" xfId="0" applyFont="1" applyFill="1" applyBorder="1" applyAlignment="1" applyProtection="1">
      <alignment horizontal="left"/>
    </xf>
    <xf numFmtId="0" fontId="17" fillId="2" borderId="11" xfId="0" applyFont="1" applyFill="1" applyBorder="1" applyAlignment="1" applyProtection="1">
      <alignment horizontal="left"/>
    </xf>
    <xf numFmtId="0" fontId="27" fillId="2" borderId="11" xfId="0" applyFont="1" applyFill="1" applyBorder="1" applyAlignment="1" applyProtection="1">
      <alignment horizontal="left"/>
    </xf>
    <xf numFmtId="0" fontId="17" fillId="2" borderId="11" xfId="0" applyFont="1" applyFill="1" applyBorder="1" applyAlignment="1" applyProtection="1">
      <alignment horizontal="center"/>
    </xf>
    <xf numFmtId="49" fontId="35" fillId="2" borderId="11" xfId="0" applyNumberFormat="1" applyFont="1" applyFill="1" applyBorder="1" applyAlignment="1" applyProtection="1">
      <alignment horizontal="left"/>
      <protection locked="0"/>
    </xf>
    <xf numFmtId="0" fontId="35" fillId="2" borderId="0" xfId="0" applyNumberFormat="1" applyFont="1" applyFill="1" applyBorder="1" applyAlignment="1" applyProtection="1">
      <alignment horizontal="left" vertical="top"/>
    </xf>
    <xf numFmtId="0" fontId="38" fillId="2" borderId="0" xfId="0" applyFont="1" applyFill="1" applyBorder="1" applyAlignment="1" applyProtection="1">
      <alignment horizontal="left"/>
      <protection locked="0"/>
    </xf>
    <xf numFmtId="49" fontId="35" fillId="2" borderId="0" xfId="0" applyNumberFormat="1" applyFont="1" applyFill="1" applyBorder="1" applyAlignment="1" applyProtection="1">
      <alignment horizontal="left" vertical="top"/>
      <protection locked="0"/>
    </xf>
    <xf numFmtId="49" fontId="35" fillId="2" borderId="0" xfId="0" applyNumberFormat="1" applyFont="1" applyFill="1" applyBorder="1" applyAlignment="1" applyProtection="1">
      <alignment horizontal="left"/>
      <protection locked="0"/>
    </xf>
    <xf numFmtId="49" fontId="35" fillId="2" borderId="11" xfId="0" applyNumberFormat="1" applyFont="1" applyFill="1" applyBorder="1" applyAlignment="1" applyProtection="1">
      <alignment horizontal="left" vertical="top"/>
      <protection locked="0"/>
    </xf>
    <xf numFmtId="0" fontId="35" fillId="2" borderId="11" xfId="0" applyNumberFormat="1" applyFont="1" applyFill="1" applyBorder="1" applyAlignment="1" applyProtection="1">
      <alignment horizontal="left" vertical="top"/>
    </xf>
    <xf numFmtId="0" fontId="24" fillId="2" borderId="1" xfId="0" applyFont="1" applyFill="1" applyBorder="1" applyAlignment="1" applyProtection="1">
      <alignment horizontal="left"/>
    </xf>
    <xf numFmtId="0" fontId="22" fillId="2" borderId="7" xfId="0" applyFont="1" applyFill="1" applyBorder="1" applyAlignment="1" applyProtection="1">
      <alignment horizontal="left"/>
    </xf>
    <xf numFmtId="0" fontId="22" fillId="2" borderId="8" xfId="0" applyFont="1" applyFill="1" applyBorder="1" applyAlignment="1" applyProtection="1">
      <alignment horizontal="left"/>
    </xf>
    <xf numFmtId="0" fontId="35" fillId="2" borderId="0" xfId="0" applyNumberFormat="1" applyFont="1" applyFill="1" applyBorder="1" applyAlignment="1" applyProtection="1">
      <alignment horizontal="left" vertical="center"/>
      <protection locked="0"/>
    </xf>
    <xf numFmtId="166" fontId="3" fillId="2" borderId="0" xfId="0" applyNumberFormat="1" applyFont="1" applyFill="1" applyAlignment="1" applyProtection="1">
      <alignment horizontal="center"/>
    </xf>
    <xf numFmtId="0" fontId="38" fillId="2" borderId="0" xfId="0" applyFont="1" applyFill="1" applyAlignment="1" applyProtection="1">
      <alignment horizontal="center"/>
    </xf>
    <xf numFmtId="0" fontId="17" fillId="2" borderId="0" xfId="0" applyFont="1" applyFill="1" applyBorder="1" applyAlignment="1" applyProtection="1">
      <alignment horizontal="left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19" fillId="2" borderId="0" xfId="0" applyFont="1" applyFill="1" applyAlignment="1" applyProtection="1">
      <alignment horizontal="center" vertical="center"/>
    </xf>
    <xf numFmtId="0" fontId="34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right"/>
    </xf>
    <xf numFmtId="0" fontId="2" fillId="2" borderId="0" xfId="0" applyFont="1" applyFill="1" applyAlignment="1" applyProtection="1">
      <alignment horizontal="left"/>
    </xf>
    <xf numFmtId="0" fontId="21" fillId="2" borderId="0" xfId="0" applyFont="1" applyFill="1" applyBorder="1" applyAlignment="1" applyProtection="1">
      <alignment horizontal="right"/>
    </xf>
    <xf numFmtId="49" fontId="36" fillId="2" borderId="10" xfId="0" applyNumberFormat="1" applyFont="1" applyFill="1" applyBorder="1" applyAlignment="1" applyProtection="1">
      <alignment horizontal="left" vertical="center"/>
      <protection locked="0"/>
    </xf>
    <xf numFmtId="49" fontId="36" fillId="2" borderId="11" xfId="0" applyNumberFormat="1" applyFont="1" applyFill="1" applyBorder="1" applyAlignment="1" applyProtection="1">
      <alignment horizontal="left" vertical="center"/>
      <protection locked="0"/>
    </xf>
    <xf numFmtId="0" fontId="35" fillId="2" borderId="0" xfId="0" applyNumberFormat="1" applyFont="1" applyFill="1" applyBorder="1" applyAlignment="1" applyProtection="1">
      <alignment horizontal="left" vertical="top" wrapText="1"/>
    </xf>
    <xf numFmtId="166" fontId="3" fillId="2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10">
    <dxf>
      <fill>
        <patternFill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color auto="1"/>
      </font>
      <fill>
        <patternFill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FF66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5</xdr:row>
          <xdr:rowOff>19050</xdr:rowOff>
        </xdr:from>
        <xdr:to>
          <xdr:col>6</xdr:col>
          <xdr:colOff>0</xdr:colOff>
          <xdr:row>5</xdr:row>
          <xdr:rowOff>276225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13</xdr:row>
          <xdr:rowOff>238125</xdr:rowOff>
        </xdr:from>
        <xdr:to>
          <xdr:col>2</xdr:col>
          <xdr:colOff>19050</xdr:colOff>
          <xdr:row>14</xdr:row>
          <xdr:rowOff>247650</xdr:rowOff>
        </xdr:to>
        <xdr:sp macro="" textlink="">
          <xdr:nvSpPr>
            <xdr:cNvPr id="1032" name="Combo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23</xdr:row>
          <xdr:rowOff>161925</xdr:rowOff>
        </xdr:from>
        <xdr:to>
          <xdr:col>8</xdr:col>
          <xdr:colOff>1476375</xdr:colOff>
          <xdr:row>24</xdr:row>
          <xdr:rowOff>257175</xdr:rowOff>
        </xdr:to>
        <xdr:sp macro="" textlink="">
          <xdr:nvSpPr>
            <xdr:cNvPr id="1034" name="ComboBox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36</xdr:row>
      <xdr:rowOff>19050</xdr:rowOff>
    </xdr:from>
    <xdr:to>
      <xdr:col>19</xdr:col>
      <xdr:colOff>0</xdr:colOff>
      <xdr:row>37</xdr:row>
      <xdr:rowOff>0</xdr:rowOff>
    </xdr:to>
    <xdr:sp macro="" textlink="">
      <xdr:nvSpPr>
        <xdr:cNvPr id="2" name="Rectangle 36"/>
        <xdr:cNvSpPr>
          <a:spLocks noChangeArrowheads="1"/>
        </xdr:cNvSpPr>
      </xdr:nvSpPr>
      <xdr:spPr bwMode="auto">
        <a:xfrm>
          <a:off x="7277100" y="8886825"/>
          <a:ext cx="0" cy="295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0</xdr:colOff>
      <xdr:row>36</xdr:row>
      <xdr:rowOff>19050</xdr:rowOff>
    </xdr:from>
    <xdr:to>
      <xdr:col>19</xdr:col>
      <xdr:colOff>0</xdr:colOff>
      <xdr:row>37</xdr:row>
      <xdr:rowOff>0</xdr:rowOff>
    </xdr:to>
    <xdr:sp macro="" textlink="">
      <xdr:nvSpPr>
        <xdr:cNvPr id="3" name="Rectangle 37"/>
        <xdr:cNvSpPr>
          <a:spLocks noChangeArrowheads="1"/>
        </xdr:cNvSpPr>
      </xdr:nvSpPr>
      <xdr:spPr bwMode="auto">
        <a:xfrm>
          <a:off x="7277100" y="8886825"/>
          <a:ext cx="0" cy="295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266700</xdr:rowOff>
        </xdr:from>
        <xdr:to>
          <xdr:col>16</xdr:col>
          <xdr:colOff>19050</xdr:colOff>
          <xdr:row>6</xdr:row>
          <xdr:rowOff>266700</xdr:rowOff>
        </xdr:to>
        <xdr:sp macro="" textlink="">
          <xdr:nvSpPr>
            <xdr:cNvPr id="2071" name="ComboBox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266700</xdr:rowOff>
        </xdr:from>
        <xdr:to>
          <xdr:col>25</xdr:col>
          <xdr:colOff>19050</xdr:colOff>
          <xdr:row>7</xdr:row>
          <xdr:rowOff>0</xdr:rowOff>
        </xdr:to>
        <xdr:sp macro="" textlink="">
          <xdr:nvSpPr>
            <xdr:cNvPr id="2072" name="ComboBox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Office_Loc" displayName="Office_Loc" ref="Q188:Q408" totalsRowShown="0" headerRowDxfId="6" dataDxfId="5">
  <autoFilter ref="Q188:Q408"/>
  <tableColumns count="1">
    <tableColumn id="1" name="[SELECT LOCATION]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ffice_Addr" displayName="Office_Addr" ref="R188:R408" totalsRowShown="0" headerRowDxfId="3" dataDxfId="2">
  <autoFilter ref="R188:R408"/>
  <tableColumns count="1">
    <tableColumn id="1" name="Office_Add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408"/>
  <sheetViews>
    <sheetView tabSelected="1" topLeftCell="A3" zoomScale="70" zoomScaleNormal="70" workbookViewId="0">
      <selection activeCell="A6" sqref="A6:B6"/>
    </sheetView>
  </sheetViews>
  <sheetFormatPr defaultRowHeight="15"/>
  <cols>
    <col min="1" max="1" width="20.140625" style="1" customWidth="1"/>
    <col min="2" max="2" width="33.42578125" style="1" customWidth="1"/>
    <col min="3" max="3" width="25.7109375" style="1" customWidth="1"/>
    <col min="4" max="4" width="12.42578125" style="1" bestFit="1" customWidth="1"/>
    <col min="5" max="5" width="15.28515625" style="1" customWidth="1"/>
    <col min="6" max="6" width="25.7109375" style="1" customWidth="1"/>
    <col min="7" max="7" width="28.140625" style="1" customWidth="1"/>
    <col min="8" max="8" width="13.28515625" style="1" customWidth="1"/>
    <col min="9" max="9" width="26.140625" style="1" customWidth="1"/>
    <col min="10" max="10" width="19.140625" style="1" bestFit="1" customWidth="1"/>
    <col min="11" max="11" width="8.42578125" style="1" customWidth="1"/>
    <col min="12" max="13" width="12.7109375" style="1" customWidth="1"/>
    <col min="14" max="15" width="11.7109375" style="1" customWidth="1"/>
    <col min="16" max="16" width="9.140625" style="1"/>
    <col min="17" max="17" width="30.140625" style="26" hidden="1" customWidth="1"/>
    <col min="18" max="18" width="255.7109375" style="26" hidden="1" customWidth="1"/>
    <col min="19" max="19" width="19.7109375" style="1" hidden="1" customWidth="1"/>
    <col min="20" max="20" width="13.28515625" style="1" hidden="1" customWidth="1"/>
    <col min="21" max="16384" width="9.140625" style="1"/>
  </cols>
  <sheetData>
    <row r="1" spans="1:15" hidden="1">
      <c r="A1" s="1" t="s">
        <v>3</v>
      </c>
      <c r="B1" s="1" t="s">
        <v>2</v>
      </c>
    </row>
    <row r="2" spans="1:15" hidden="1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  <c r="J2" s="1" t="s">
        <v>15</v>
      </c>
      <c r="K2" s="1" t="s">
        <v>16</v>
      </c>
      <c r="L2" s="1" t="s">
        <v>17</v>
      </c>
      <c r="M2" s="1" t="s">
        <v>18</v>
      </c>
      <c r="N2" s="1" t="s">
        <v>19</v>
      </c>
      <c r="O2" s="1" t="s">
        <v>20</v>
      </c>
    </row>
    <row r="3" spans="1:15" ht="15" customHeight="1">
      <c r="A3" s="181" t="s">
        <v>21</v>
      </c>
      <c r="B3" s="182"/>
      <c r="D3" s="196" t="str">
        <f>IF(Q187="[SELECT LOCATION]","SELECT LOADING OFFICE LOCATION BELOW", "SELECTED LOCATION:")</f>
        <v>SELECT LOADING OFFICE LOCATION BELOW</v>
      </c>
      <c r="E3" s="196"/>
      <c r="F3" s="196"/>
    </row>
    <row r="4" spans="1:15" ht="15" customHeight="1">
      <c r="A4" s="181"/>
      <c r="B4" s="182"/>
      <c r="D4" s="196"/>
      <c r="E4" s="196"/>
      <c r="F4" s="196"/>
    </row>
    <row r="5" spans="1:15" ht="15" customHeight="1">
      <c r="A5" s="181"/>
      <c r="B5" s="182"/>
      <c r="D5" s="196"/>
      <c r="E5" s="196"/>
      <c r="F5" s="196"/>
    </row>
    <row r="6" spans="1:15" ht="35.25" customHeight="1">
      <c r="A6" s="183">
        <v>4</v>
      </c>
      <c r="B6" s="184"/>
    </row>
    <row r="7" spans="1:15" ht="183" customHeight="1">
      <c r="A7" s="187" t="str">
        <f>_xlfn.IFNA(IF(Q187="COMPANY LOCATION","",VLOOKUP(Q187,Q189:R408,2,FALSE)),"")</f>
        <v/>
      </c>
      <c r="B7" s="187"/>
      <c r="C7" s="187"/>
      <c r="D7" s="187"/>
      <c r="E7" s="187"/>
      <c r="F7" s="189" t="s">
        <v>262</v>
      </c>
      <c r="G7" s="189"/>
      <c r="H7" s="189"/>
    </row>
    <row r="8" spans="1:15" ht="21" customHeight="1">
      <c r="A8" s="193"/>
      <c r="B8" s="193"/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</row>
    <row r="9" spans="1:15" ht="21" customHeight="1">
      <c r="A9" s="3" t="s">
        <v>253</v>
      </c>
      <c r="B9" s="190"/>
      <c r="C9" s="190"/>
      <c r="D9" s="190"/>
      <c r="E9" s="3" t="s">
        <v>254</v>
      </c>
      <c r="F9" s="190"/>
      <c r="G9" s="190"/>
      <c r="H9" s="4"/>
      <c r="I9" s="3" t="s">
        <v>244</v>
      </c>
      <c r="J9" s="190"/>
      <c r="K9" s="190"/>
      <c r="L9" s="190"/>
      <c r="M9" s="190"/>
      <c r="N9" s="175"/>
      <c r="O9" s="175"/>
    </row>
    <row r="10" spans="1:15" ht="21" customHeight="1">
      <c r="A10" s="3"/>
      <c r="B10" s="5"/>
      <c r="E10" s="3"/>
      <c r="F10" s="5"/>
      <c r="G10" s="5"/>
      <c r="H10" s="5"/>
      <c r="I10" s="3"/>
      <c r="J10" s="2"/>
      <c r="K10" s="3"/>
      <c r="L10" s="7"/>
      <c r="M10" s="28"/>
      <c r="N10" s="8"/>
      <c r="O10" s="28"/>
    </row>
    <row r="11" spans="1:15" ht="21" customHeight="1">
      <c r="A11" s="3" t="s">
        <v>0</v>
      </c>
      <c r="B11" s="48"/>
      <c r="C11" s="3"/>
      <c r="D11" s="32"/>
      <c r="E11" s="3" t="s">
        <v>255</v>
      </c>
      <c r="F11" s="188"/>
      <c r="G11" s="188"/>
      <c r="H11" s="4"/>
      <c r="I11" s="3" t="s">
        <v>261</v>
      </c>
      <c r="J11" s="190"/>
      <c r="K11" s="190"/>
      <c r="L11" s="190"/>
      <c r="M11" s="190"/>
      <c r="N11" s="175"/>
      <c r="O11" s="175"/>
    </row>
    <row r="12" spans="1:15" ht="21" customHeight="1">
      <c r="A12" s="3"/>
      <c r="B12" s="5"/>
      <c r="C12" s="3"/>
      <c r="D12" s="6"/>
      <c r="E12" s="3"/>
      <c r="F12" s="5"/>
      <c r="G12" s="5"/>
      <c r="H12" s="5"/>
      <c r="I12" s="3"/>
      <c r="J12" s="2"/>
      <c r="K12" s="3"/>
      <c r="L12" s="7"/>
      <c r="M12" s="50"/>
      <c r="N12" s="2"/>
      <c r="O12" s="3"/>
    </row>
    <row r="13" spans="1:15" ht="21" customHeight="1">
      <c r="A13" s="3" t="s">
        <v>1</v>
      </c>
      <c r="B13" s="48"/>
      <c r="C13" s="3"/>
      <c r="D13" s="56"/>
      <c r="E13" s="3" t="s">
        <v>256</v>
      </c>
      <c r="F13" s="192"/>
      <c r="G13" s="192"/>
      <c r="H13" s="2"/>
      <c r="I13" s="3" t="s">
        <v>257</v>
      </c>
      <c r="J13" s="190"/>
      <c r="K13" s="190"/>
      <c r="L13" s="190"/>
      <c r="M13" s="190"/>
      <c r="N13" s="2"/>
      <c r="O13" s="3"/>
    </row>
    <row r="14" spans="1:15" ht="21" customHeight="1">
      <c r="A14" s="3"/>
      <c r="B14" s="5"/>
      <c r="C14" s="3"/>
      <c r="D14" s="9"/>
      <c r="E14" s="5"/>
      <c r="F14" s="5"/>
      <c r="G14" s="2"/>
      <c r="H14" s="2"/>
      <c r="I14" s="2"/>
      <c r="J14" s="2"/>
      <c r="K14" s="3"/>
      <c r="L14" s="5"/>
      <c r="M14" s="2"/>
      <c r="N14" s="2"/>
      <c r="O14" s="3"/>
    </row>
    <row r="15" spans="1:15" ht="21" customHeight="1">
      <c r="A15" s="3" t="s">
        <v>247</v>
      </c>
      <c r="B15" s="43" t="s">
        <v>252</v>
      </c>
      <c r="C15" s="120"/>
      <c r="D15" s="258" t="s">
        <v>304</v>
      </c>
      <c r="E15" s="120"/>
      <c r="F15" s="10"/>
      <c r="G15" s="2"/>
      <c r="H15" s="2"/>
      <c r="I15" s="3" t="s">
        <v>258</v>
      </c>
      <c r="J15" s="190"/>
      <c r="K15" s="190"/>
      <c r="L15" s="190"/>
      <c r="M15" s="190"/>
      <c r="N15" s="2"/>
      <c r="O15" s="2"/>
    </row>
    <row r="16" spans="1:15" ht="21" customHeight="1">
      <c r="A16" s="3"/>
      <c r="B16" s="11"/>
      <c r="C16" s="3"/>
      <c r="D16" s="9"/>
      <c r="E16" s="10"/>
      <c r="F16" s="10"/>
      <c r="G16" s="2"/>
      <c r="H16" s="2"/>
      <c r="I16" s="2"/>
      <c r="J16" s="2"/>
      <c r="K16" s="2"/>
      <c r="L16" s="2"/>
      <c r="M16" s="2"/>
      <c r="N16" s="2"/>
      <c r="O16" s="2"/>
    </row>
    <row r="17" spans="1:15" ht="21" customHeight="1">
      <c r="A17" s="3" t="s">
        <v>246</v>
      </c>
      <c r="B17" s="44"/>
      <c r="C17" s="45"/>
      <c r="D17" s="45"/>
      <c r="E17" s="45"/>
      <c r="F17" s="45"/>
      <c r="G17" s="45"/>
      <c r="H17" s="45"/>
      <c r="I17" s="46" t="s">
        <v>245</v>
      </c>
      <c r="J17" s="190"/>
      <c r="K17" s="190"/>
      <c r="L17" s="190"/>
      <c r="M17" s="190"/>
      <c r="N17" s="2"/>
      <c r="O17" s="2"/>
    </row>
    <row r="18" spans="1:15" ht="21" customHeight="1">
      <c r="A18" s="2"/>
      <c r="B18" s="11"/>
      <c r="C18" s="3"/>
      <c r="D18" s="3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ht="21" customHeight="1">
      <c r="A19" s="47" t="s">
        <v>259</v>
      </c>
      <c r="B19" s="197" t="str">
        <f>_xlfn.IFNA(IF(Q182="COMPANY LOCATION","",UPPER(IF(ISNUMBER(SEARCH("PH",A7,1)),LEFT(A7,FIND("PH",A7)-2),IF(ISNUMBER(SEARCH("Email",A7,1)),LEFT(A1,FIND("Email",A7)-2),IF(ISNUMBER(SEARCH("E-mail",A7,1)),LEFT(A7,FIND("E-mail",A7)-2),""))))),"")</f>
        <v/>
      </c>
      <c r="C19" s="197"/>
      <c r="D19" s="197"/>
      <c r="E19" s="197"/>
      <c r="F19" s="45"/>
      <c r="G19" s="57" t="s">
        <v>260</v>
      </c>
      <c r="H19" s="198"/>
      <c r="I19" s="198"/>
      <c r="J19" s="198"/>
      <c r="K19" s="198"/>
      <c r="L19" s="198"/>
      <c r="M19" s="198"/>
      <c r="N19" s="2"/>
      <c r="O19" s="2"/>
    </row>
    <row r="20" spans="1:15" ht="21" customHeight="1">
      <c r="A20" s="47"/>
      <c r="B20" s="197"/>
      <c r="C20" s="197"/>
      <c r="D20" s="197"/>
      <c r="E20" s="197"/>
      <c r="F20" s="45"/>
      <c r="G20" s="57"/>
      <c r="H20" s="198"/>
      <c r="I20" s="198"/>
      <c r="J20" s="198"/>
      <c r="K20" s="198"/>
      <c r="L20" s="198"/>
      <c r="M20" s="198"/>
      <c r="N20" s="2"/>
      <c r="O20" s="2"/>
    </row>
    <row r="21" spans="1:15" ht="21" customHeight="1">
      <c r="A21" s="47"/>
      <c r="B21" s="197"/>
      <c r="C21" s="197"/>
      <c r="D21" s="197"/>
      <c r="E21" s="197"/>
      <c r="F21" s="45"/>
      <c r="G21" s="57"/>
      <c r="H21" s="198"/>
      <c r="I21" s="198"/>
      <c r="J21" s="198"/>
      <c r="K21" s="198"/>
      <c r="L21" s="198"/>
      <c r="M21" s="198"/>
      <c r="N21" s="2"/>
      <c r="O21" s="2"/>
    </row>
    <row r="22" spans="1:15" ht="21" customHeight="1">
      <c r="A22" s="47"/>
      <c r="B22" s="197"/>
      <c r="C22" s="197"/>
      <c r="D22" s="197"/>
      <c r="E22" s="197"/>
      <c r="F22" s="45"/>
      <c r="G22" s="57"/>
      <c r="H22" s="198"/>
      <c r="I22" s="198"/>
      <c r="J22" s="198"/>
      <c r="K22" s="198"/>
      <c r="L22" s="198"/>
      <c r="M22" s="198"/>
      <c r="N22" s="2"/>
      <c r="O22" s="2"/>
    </row>
    <row r="23" spans="1:15" ht="21" customHeight="1">
      <c r="A23" s="47"/>
      <c r="B23" s="197"/>
      <c r="C23" s="197"/>
      <c r="D23" s="197"/>
      <c r="E23" s="197"/>
      <c r="F23" s="45"/>
      <c r="G23" s="57"/>
      <c r="H23" s="198"/>
      <c r="I23" s="198"/>
      <c r="J23" s="198"/>
      <c r="K23" s="198"/>
      <c r="L23" s="198"/>
      <c r="M23" s="198"/>
      <c r="N23" s="2"/>
      <c r="O23" s="2"/>
    </row>
    <row r="24" spans="1:15">
      <c r="B24" s="12"/>
    </row>
    <row r="25" spans="1:15" ht="21" thickBot="1">
      <c r="E25" s="13"/>
      <c r="F25" s="14" t="str">
        <f>IF(G25="","Measurement Unit:","")</f>
        <v>Measurement Unit:</v>
      </c>
      <c r="G25" s="176" t="s">
        <v>252</v>
      </c>
      <c r="H25" s="176"/>
      <c r="I25" s="176"/>
    </row>
    <row r="26" spans="1:15" ht="20.25" customHeight="1">
      <c r="A26" s="194" t="s">
        <v>248</v>
      </c>
      <c r="B26" s="178"/>
      <c r="C26" s="51"/>
      <c r="D26" s="51"/>
      <c r="E26" s="35"/>
      <c r="F26" s="35"/>
      <c r="G26" s="178"/>
      <c r="H26" s="178"/>
      <c r="I26" s="35"/>
      <c r="J26" s="51"/>
      <c r="K26" s="51"/>
      <c r="L26" s="51"/>
      <c r="M26" s="51"/>
      <c r="N26" s="51"/>
      <c r="O26" s="52"/>
    </row>
    <row r="27" spans="1:15" ht="20.25">
      <c r="A27" s="191"/>
      <c r="B27" s="179"/>
      <c r="C27" s="49" t="s">
        <v>249</v>
      </c>
      <c r="D27" s="49" t="s">
        <v>250</v>
      </c>
      <c r="E27" s="179" t="s">
        <v>5</v>
      </c>
      <c r="F27" s="179"/>
      <c r="G27" s="179"/>
      <c r="H27" s="179"/>
      <c r="I27" s="179"/>
      <c r="J27" s="53"/>
      <c r="K27" s="53"/>
      <c r="L27" s="179" t="str">
        <f>IF($G$25="","WGT",IF($G$25="IMPERIAL","LBS","KGS"))</f>
        <v>WGT</v>
      </c>
      <c r="M27" s="179"/>
      <c r="N27" s="179" t="str">
        <f>IF($G$25="","VOL",IF($G$25="IMPERIAL","CFT","CBM"))</f>
        <v>VOL</v>
      </c>
      <c r="O27" s="180"/>
    </row>
    <row r="28" spans="1:15" ht="21" thickBot="1">
      <c r="A28" s="185" t="s">
        <v>4</v>
      </c>
      <c r="B28" s="186"/>
      <c r="C28" s="54"/>
      <c r="D28" s="54"/>
      <c r="E28" s="177"/>
      <c r="F28" s="177"/>
      <c r="G28" s="177"/>
      <c r="H28" s="177"/>
      <c r="I28" s="177"/>
      <c r="J28" s="54"/>
      <c r="K28" s="54"/>
      <c r="L28" s="54"/>
      <c r="M28" s="54"/>
      <c r="N28" s="54"/>
      <c r="O28" s="55"/>
    </row>
    <row r="29" spans="1:15" ht="37.5" customHeight="1">
      <c r="A29" s="169"/>
      <c r="B29" s="169"/>
      <c r="C29" s="170"/>
      <c r="D29" s="170"/>
      <c r="E29" s="174"/>
      <c r="F29" s="174"/>
      <c r="G29" s="174"/>
      <c r="H29" s="174"/>
      <c r="I29" s="174"/>
      <c r="J29" s="174"/>
      <c r="K29" s="174"/>
      <c r="L29" s="173"/>
      <c r="M29" s="173"/>
      <c r="N29" s="171"/>
      <c r="O29" s="172"/>
    </row>
    <row r="30" spans="1:15" ht="37.5" customHeight="1">
      <c r="A30" s="167"/>
      <c r="B30" s="163"/>
      <c r="C30" s="151"/>
      <c r="D30" s="151"/>
      <c r="E30" s="163"/>
      <c r="F30" s="163"/>
      <c r="G30" s="163"/>
      <c r="H30" s="163"/>
      <c r="I30" s="163"/>
      <c r="J30" s="163"/>
      <c r="K30" s="163"/>
      <c r="L30" s="160"/>
      <c r="M30" s="160"/>
      <c r="N30" s="155"/>
      <c r="O30" s="156"/>
    </row>
    <row r="31" spans="1:15" ht="37.5" customHeight="1">
      <c r="A31" s="168"/>
      <c r="B31" s="162"/>
      <c r="C31" s="152"/>
      <c r="D31" s="152"/>
      <c r="E31" s="162"/>
      <c r="F31" s="162"/>
      <c r="G31" s="162"/>
      <c r="H31" s="162"/>
      <c r="I31" s="162"/>
      <c r="J31" s="162"/>
      <c r="K31" s="162"/>
      <c r="L31" s="161"/>
      <c r="M31" s="161"/>
      <c r="N31" s="157"/>
      <c r="O31" s="158"/>
    </row>
    <row r="32" spans="1:15" ht="37.5" customHeight="1">
      <c r="A32" s="165"/>
      <c r="B32" s="166"/>
      <c r="C32" s="150"/>
      <c r="D32" s="150"/>
      <c r="E32" s="164"/>
      <c r="F32" s="164"/>
      <c r="G32" s="164"/>
      <c r="H32" s="164"/>
      <c r="I32" s="164"/>
      <c r="J32" s="164"/>
      <c r="K32" s="164"/>
      <c r="L32" s="159"/>
      <c r="M32" s="159"/>
      <c r="N32" s="153"/>
      <c r="O32" s="154"/>
    </row>
    <row r="33" spans="1:15" ht="37.5" customHeight="1">
      <c r="A33" s="167"/>
      <c r="B33" s="163"/>
      <c r="C33" s="151"/>
      <c r="D33" s="151"/>
      <c r="E33" s="163"/>
      <c r="F33" s="163"/>
      <c r="G33" s="163"/>
      <c r="H33" s="163"/>
      <c r="I33" s="163"/>
      <c r="J33" s="163"/>
      <c r="K33" s="163"/>
      <c r="L33" s="160"/>
      <c r="M33" s="160"/>
      <c r="N33" s="155"/>
      <c r="O33" s="156"/>
    </row>
    <row r="34" spans="1:15" ht="37.5" customHeight="1">
      <c r="A34" s="168"/>
      <c r="B34" s="162"/>
      <c r="C34" s="152"/>
      <c r="D34" s="152"/>
      <c r="E34" s="162"/>
      <c r="F34" s="162"/>
      <c r="G34" s="162"/>
      <c r="H34" s="162"/>
      <c r="I34" s="162"/>
      <c r="J34" s="162"/>
      <c r="K34" s="162"/>
      <c r="L34" s="161"/>
      <c r="M34" s="161"/>
      <c r="N34" s="157"/>
      <c r="O34" s="158"/>
    </row>
    <row r="35" spans="1:15" ht="37.5" customHeight="1">
      <c r="A35" s="165"/>
      <c r="B35" s="166"/>
      <c r="C35" s="150"/>
      <c r="D35" s="150"/>
      <c r="E35" s="164"/>
      <c r="F35" s="164"/>
      <c r="G35" s="164"/>
      <c r="H35" s="164"/>
      <c r="I35" s="164"/>
      <c r="J35" s="164"/>
      <c r="K35" s="164"/>
      <c r="L35" s="159"/>
      <c r="M35" s="159"/>
      <c r="N35" s="153"/>
      <c r="O35" s="154"/>
    </row>
    <row r="36" spans="1:15" ht="37.5" customHeight="1">
      <c r="A36" s="167"/>
      <c r="B36" s="163"/>
      <c r="C36" s="151"/>
      <c r="D36" s="151"/>
      <c r="E36" s="163"/>
      <c r="F36" s="163"/>
      <c r="G36" s="163"/>
      <c r="H36" s="163"/>
      <c r="I36" s="163"/>
      <c r="J36" s="163"/>
      <c r="K36" s="163"/>
      <c r="L36" s="160"/>
      <c r="M36" s="160"/>
      <c r="N36" s="155"/>
      <c r="O36" s="156"/>
    </row>
    <row r="37" spans="1:15" ht="37.5" customHeight="1">
      <c r="A37" s="168"/>
      <c r="B37" s="162"/>
      <c r="C37" s="152"/>
      <c r="D37" s="152"/>
      <c r="E37" s="162"/>
      <c r="F37" s="162"/>
      <c r="G37" s="162"/>
      <c r="H37" s="162"/>
      <c r="I37" s="162"/>
      <c r="J37" s="162"/>
      <c r="K37" s="162"/>
      <c r="L37" s="161"/>
      <c r="M37" s="161"/>
      <c r="N37" s="157"/>
      <c r="O37" s="158"/>
    </row>
    <row r="38" spans="1:15" ht="37.5" customHeight="1">
      <c r="A38" s="165"/>
      <c r="B38" s="166"/>
      <c r="C38" s="150"/>
      <c r="D38" s="150"/>
      <c r="E38" s="164"/>
      <c r="F38" s="164"/>
      <c r="G38" s="164"/>
      <c r="H38" s="164"/>
      <c r="I38" s="164"/>
      <c r="J38" s="164"/>
      <c r="K38" s="164"/>
      <c r="L38" s="159"/>
      <c r="M38" s="159"/>
      <c r="N38" s="153"/>
      <c r="O38" s="154"/>
    </row>
    <row r="39" spans="1:15" ht="37.5" customHeight="1">
      <c r="A39" s="167"/>
      <c r="B39" s="163"/>
      <c r="C39" s="151"/>
      <c r="D39" s="151"/>
      <c r="E39" s="163"/>
      <c r="F39" s="163"/>
      <c r="G39" s="163"/>
      <c r="H39" s="163"/>
      <c r="I39" s="163"/>
      <c r="J39" s="163"/>
      <c r="K39" s="163"/>
      <c r="L39" s="160"/>
      <c r="M39" s="160"/>
      <c r="N39" s="155"/>
      <c r="O39" s="156"/>
    </row>
    <row r="40" spans="1:15" ht="37.5" customHeight="1">
      <c r="A40" s="168"/>
      <c r="B40" s="162"/>
      <c r="C40" s="152"/>
      <c r="D40" s="152"/>
      <c r="E40" s="162"/>
      <c r="F40" s="162"/>
      <c r="G40" s="162"/>
      <c r="H40" s="162"/>
      <c r="I40" s="162"/>
      <c r="J40" s="162"/>
      <c r="K40" s="162"/>
      <c r="L40" s="161"/>
      <c r="M40" s="161"/>
      <c r="N40" s="157"/>
      <c r="O40" s="158"/>
    </row>
    <row r="41" spans="1:15" ht="37.5" hidden="1" customHeight="1">
      <c r="A41" s="165"/>
      <c r="B41" s="166"/>
      <c r="C41" s="150"/>
      <c r="D41" s="150"/>
      <c r="E41" s="164"/>
      <c r="F41" s="164"/>
      <c r="G41" s="164"/>
      <c r="H41" s="164"/>
      <c r="I41" s="164"/>
      <c r="J41" s="164"/>
      <c r="K41" s="164"/>
      <c r="L41" s="159"/>
      <c r="M41" s="159"/>
      <c r="N41" s="153"/>
      <c r="O41" s="154"/>
    </row>
    <row r="42" spans="1:15" ht="37.5" hidden="1" customHeight="1">
      <c r="A42" s="167"/>
      <c r="B42" s="163"/>
      <c r="C42" s="151"/>
      <c r="D42" s="151"/>
      <c r="E42" s="163"/>
      <c r="F42" s="163"/>
      <c r="G42" s="163"/>
      <c r="H42" s="163"/>
      <c r="I42" s="163"/>
      <c r="J42" s="163"/>
      <c r="K42" s="163"/>
      <c r="L42" s="160"/>
      <c r="M42" s="160"/>
      <c r="N42" s="155"/>
      <c r="O42" s="156"/>
    </row>
    <row r="43" spans="1:15" ht="37.5" hidden="1" customHeight="1">
      <c r="A43" s="168"/>
      <c r="B43" s="162"/>
      <c r="C43" s="152"/>
      <c r="D43" s="152"/>
      <c r="E43" s="162"/>
      <c r="F43" s="162"/>
      <c r="G43" s="162"/>
      <c r="H43" s="162"/>
      <c r="I43" s="162"/>
      <c r="J43" s="162"/>
      <c r="K43" s="162"/>
      <c r="L43" s="161"/>
      <c r="M43" s="161"/>
      <c r="N43" s="157"/>
      <c r="O43" s="158"/>
    </row>
    <row r="44" spans="1:15" ht="37.5" hidden="1" customHeight="1">
      <c r="A44" s="165"/>
      <c r="B44" s="166"/>
      <c r="C44" s="150"/>
      <c r="D44" s="150"/>
      <c r="E44" s="164"/>
      <c r="F44" s="164"/>
      <c r="G44" s="164"/>
      <c r="H44" s="164"/>
      <c r="I44" s="164"/>
      <c r="J44" s="164"/>
      <c r="K44" s="164"/>
      <c r="L44" s="159"/>
      <c r="M44" s="159"/>
      <c r="N44" s="153"/>
      <c r="O44" s="154"/>
    </row>
    <row r="45" spans="1:15" ht="37.5" hidden="1" customHeight="1">
      <c r="A45" s="167"/>
      <c r="B45" s="163"/>
      <c r="C45" s="151"/>
      <c r="D45" s="151"/>
      <c r="E45" s="163"/>
      <c r="F45" s="163"/>
      <c r="G45" s="163"/>
      <c r="H45" s="163"/>
      <c r="I45" s="163"/>
      <c r="J45" s="163"/>
      <c r="K45" s="163"/>
      <c r="L45" s="160"/>
      <c r="M45" s="160"/>
      <c r="N45" s="155"/>
      <c r="O45" s="156"/>
    </row>
    <row r="46" spans="1:15" ht="37.5" hidden="1" customHeight="1">
      <c r="A46" s="168"/>
      <c r="B46" s="162"/>
      <c r="C46" s="152"/>
      <c r="D46" s="152"/>
      <c r="E46" s="162"/>
      <c r="F46" s="162"/>
      <c r="G46" s="162"/>
      <c r="H46" s="162"/>
      <c r="I46" s="162"/>
      <c r="J46" s="162"/>
      <c r="K46" s="162"/>
      <c r="L46" s="161"/>
      <c r="M46" s="161"/>
      <c r="N46" s="157"/>
      <c r="O46" s="158"/>
    </row>
    <row r="47" spans="1:15" ht="37.5" hidden="1" customHeight="1">
      <c r="A47" s="165"/>
      <c r="B47" s="166"/>
      <c r="C47" s="150"/>
      <c r="D47" s="150"/>
      <c r="E47" s="164"/>
      <c r="F47" s="164"/>
      <c r="G47" s="164"/>
      <c r="H47" s="164"/>
      <c r="I47" s="164"/>
      <c r="J47" s="164"/>
      <c r="K47" s="164"/>
      <c r="L47" s="159"/>
      <c r="M47" s="159"/>
      <c r="N47" s="153"/>
      <c r="O47" s="154"/>
    </row>
    <row r="48" spans="1:15" ht="37.5" hidden="1" customHeight="1">
      <c r="A48" s="167"/>
      <c r="B48" s="163"/>
      <c r="C48" s="151"/>
      <c r="D48" s="151"/>
      <c r="E48" s="163"/>
      <c r="F48" s="163"/>
      <c r="G48" s="163"/>
      <c r="H48" s="163"/>
      <c r="I48" s="163"/>
      <c r="J48" s="163"/>
      <c r="K48" s="163"/>
      <c r="L48" s="160"/>
      <c r="M48" s="160"/>
      <c r="N48" s="155"/>
      <c r="O48" s="156"/>
    </row>
    <row r="49" spans="1:15" ht="37.5" hidden="1" customHeight="1">
      <c r="A49" s="168"/>
      <c r="B49" s="162"/>
      <c r="C49" s="152"/>
      <c r="D49" s="152"/>
      <c r="E49" s="162"/>
      <c r="F49" s="162"/>
      <c r="G49" s="162"/>
      <c r="H49" s="162"/>
      <c r="I49" s="162"/>
      <c r="J49" s="162"/>
      <c r="K49" s="162"/>
      <c r="L49" s="161"/>
      <c r="M49" s="161"/>
      <c r="N49" s="157"/>
      <c r="O49" s="158"/>
    </row>
    <row r="50" spans="1:15" ht="37.5" hidden="1" customHeight="1">
      <c r="A50" s="165"/>
      <c r="B50" s="166"/>
      <c r="C50" s="150"/>
      <c r="D50" s="150"/>
      <c r="E50" s="164"/>
      <c r="F50" s="164"/>
      <c r="G50" s="164"/>
      <c r="H50" s="164"/>
      <c r="I50" s="164"/>
      <c r="J50" s="164"/>
      <c r="K50" s="164"/>
      <c r="L50" s="159"/>
      <c r="M50" s="159"/>
      <c r="N50" s="153"/>
      <c r="O50" s="154"/>
    </row>
    <row r="51" spans="1:15" ht="37.5" hidden="1" customHeight="1">
      <c r="A51" s="167"/>
      <c r="B51" s="163"/>
      <c r="C51" s="151"/>
      <c r="D51" s="151"/>
      <c r="E51" s="163"/>
      <c r="F51" s="163"/>
      <c r="G51" s="163"/>
      <c r="H51" s="163"/>
      <c r="I51" s="163"/>
      <c r="J51" s="163"/>
      <c r="K51" s="163"/>
      <c r="L51" s="160"/>
      <c r="M51" s="160"/>
      <c r="N51" s="155"/>
      <c r="O51" s="156"/>
    </row>
    <row r="52" spans="1:15" ht="37.5" hidden="1" customHeight="1">
      <c r="A52" s="168"/>
      <c r="B52" s="162"/>
      <c r="C52" s="152"/>
      <c r="D52" s="152"/>
      <c r="E52" s="162"/>
      <c r="F52" s="162"/>
      <c r="G52" s="162"/>
      <c r="H52" s="162"/>
      <c r="I52" s="162"/>
      <c r="J52" s="162"/>
      <c r="K52" s="162"/>
      <c r="L52" s="161"/>
      <c r="M52" s="161"/>
      <c r="N52" s="157"/>
      <c r="O52" s="158"/>
    </row>
    <row r="53" spans="1:15" ht="37.5" hidden="1" customHeight="1">
      <c r="A53" s="165"/>
      <c r="B53" s="166"/>
      <c r="C53" s="150"/>
      <c r="D53" s="150"/>
      <c r="E53" s="164"/>
      <c r="F53" s="164"/>
      <c r="G53" s="164"/>
      <c r="H53" s="164"/>
      <c r="I53" s="164"/>
      <c r="J53" s="164"/>
      <c r="K53" s="164"/>
      <c r="L53" s="159"/>
      <c r="M53" s="159"/>
      <c r="N53" s="153"/>
      <c r="O53" s="154"/>
    </row>
    <row r="54" spans="1:15" ht="37.5" hidden="1" customHeight="1">
      <c r="A54" s="167"/>
      <c r="B54" s="163"/>
      <c r="C54" s="151"/>
      <c r="D54" s="151"/>
      <c r="E54" s="163"/>
      <c r="F54" s="163"/>
      <c r="G54" s="163"/>
      <c r="H54" s="163"/>
      <c r="I54" s="163"/>
      <c r="J54" s="163"/>
      <c r="K54" s="163"/>
      <c r="L54" s="160"/>
      <c r="M54" s="160"/>
      <c r="N54" s="155"/>
      <c r="O54" s="156"/>
    </row>
    <row r="55" spans="1:15" ht="37.5" hidden="1" customHeight="1">
      <c r="A55" s="168"/>
      <c r="B55" s="162"/>
      <c r="C55" s="152"/>
      <c r="D55" s="152"/>
      <c r="E55" s="162"/>
      <c r="F55" s="162"/>
      <c r="G55" s="162"/>
      <c r="H55" s="162"/>
      <c r="I55" s="162"/>
      <c r="J55" s="162"/>
      <c r="K55" s="162"/>
      <c r="L55" s="161"/>
      <c r="M55" s="161"/>
      <c r="N55" s="157"/>
      <c r="O55" s="158"/>
    </row>
    <row r="56" spans="1:15" ht="37.5" hidden="1" customHeight="1">
      <c r="A56" s="165"/>
      <c r="B56" s="166"/>
      <c r="C56" s="150"/>
      <c r="D56" s="150"/>
      <c r="E56" s="164"/>
      <c r="F56" s="164"/>
      <c r="G56" s="164"/>
      <c r="H56" s="164"/>
      <c r="I56" s="164"/>
      <c r="J56" s="164"/>
      <c r="K56" s="164"/>
      <c r="L56" s="159"/>
      <c r="M56" s="159"/>
      <c r="N56" s="153"/>
      <c r="O56" s="154"/>
    </row>
    <row r="57" spans="1:15" ht="37.5" hidden="1" customHeight="1">
      <c r="A57" s="167"/>
      <c r="B57" s="163"/>
      <c r="C57" s="151"/>
      <c r="D57" s="151"/>
      <c r="E57" s="163"/>
      <c r="F57" s="163"/>
      <c r="G57" s="163"/>
      <c r="H57" s="163"/>
      <c r="I57" s="163"/>
      <c r="J57" s="163"/>
      <c r="K57" s="163"/>
      <c r="L57" s="160"/>
      <c r="M57" s="160"/>
      <c r="N57" s="155"/>
      <c r="O57" s="156"/>
    </row>
    <row r="58" spans="1:15" ht="37.5" hidden="1" customHeight="1">
      <c r="A58" s="168"/>
      <c r="B58" s="162"/>
      <c r="C58" s="152"/>
      <c r="D58" s="152"/>
      <c r="E58" s="162"/>
      <c r="F58" s="162"/>
      <c r="G58" s="162"/>
      <c r="H58" s="162"/>
      <c r="I58" s="162"/>
      <c r="J58" s="162"/>
      <c r="K58" s="162"/>
      <c r="L58" s="161"/>
      <c r="M58" s="161"/>
      <c r="N58" s="157"/>
      <c r="O58" s="158"/>
    </row>
    <row r="59" spans="1:15" ht="37.5" hidden="1" customHeight="1">
      <c r="A59" s="165"/>
      <c r="B59" s="166"/>
      <c r="C59" s="150"/>
      <c r="D59" s="150"/>
      <c r="E59" s="164"/>
      <c r="F59" s="164"/>
      <c r="G59" s="164"/>
      <c r="H59" s="164"/>
      <c r="I59" s="164"/>
      <c r="J59" s="164"/>
      <c r="K59" s="164"/>
      <c r="L59" s="159"/>
      <c r="M59" s="159"/>
      <c r="N59" s="153"/>
      <c r="O59" s="154"/>
    </row>
    <row r="60" spans="1:15" ht="37.5" hidden="1" customHeight="1">
      <c r="A60" s="167"/>
      <c r="B60" s="163"/>
      <c r="C60" s="151"/>
      <c r="D60" s="151"/>
      <c r="E60" s="163"/>
      <c r="F60" s="163"/>
      <c r="G60" s="163"/>
      <c r="H60" s="163"/>
      <c r="I60" s="163"/>
      <c r="J60" s="163"/>
      <c r="K60" s="163"/>
      <c r="L60" s="160"/>
      <c r="M60" s="160"/>
      <c r="N60" s="155"/>
      <c r="O60" s="156"/>
    </row>
    <row r="61" spans="1:15" ht="37.5" hidden="1" customHeight="1">
      <c r="A61" s="168"/>
      <c r="B61" s="162"/>
      <c r="C61" s="152"/>
      <c r="D61" s="152"/>
      <c r="E61" s="162"/>
      <c r="F61" s="162"/>
      <c r="G61" s="162"/>
      <c r="H61" s="162"/>
      <c r="I61" s="162"/>
      <c r="J61" s="162"/>
      <c r="K61" s="162"/>
      <c r="L61" s="161"/>
      <c r="M61" s="161"/>
      <c r="N61" s="157"/>
      <c r="O61" s="158"/>
    </row>
    <row r="62" spans="1:15" ht="37.5" hidden="1" customHeight="1">
      <c r="A62" s="165"/>
      <c r="B62" s="166"/>
      <c r="C62" s="150"/>
      <c r="D62" s="150"/>
      <c r="E62" s="164"/>
      <c r="F62" s="164"/>
      <c r="G62" s="164"/>
      <c r="H62" s="164"/>
      <c r="I62" s="164"/>
      <c r="J62" s="164"/>
      <c r="K62" s="164"/>
      <c r="L62" s="159"/>
      <c r="M62" s="159"/>
      <c r="N62" s="153"/>
      <c r="O62" s="154"/>
    </row>
    <row r="63" spans="1:15" ht="37.5" hidden="1" customHeight="1">
      <c r="A63" s="167"/>
      <c r="B63" s="163"/>
      <c r="C63" s="151"/>
      <c r="D63" s="151"/>
      <c r="E63" s="163"/>
      <c r="F63" s="163"/>
      <c r="G63" s="163"/>
      <c r="H63" s="163"/>
      <c r="I63" s="163"/>
      <c r="J63" s="163"/>
      <c r="K63" s="163"/>
      <c r="L63" s="160"/>
      <c r="M63" s="160"/>
      <c r="N63" s="155"/>
      <c r="O63" s="156"/>
    </row>
    <row r="64" spans="1:15" ht="37.5" hidden="1" customHeight="1">
      <c r="A64" s="168"/>
      <c r="B64" s="162"/>
      <c r="C64" s="152"/>
      <c r="D64" s="152"/>
      <c r="E64" s="162"/>
      <c r="F64" s="162"/>
      <c r="G64" s="162"/>
      <c r="H64" s="162"/>
      <c r="I64" s="162"/>
      <c r="J64" s="162"/>
      <c r="K64" s="162"/>
      <c r="L64" s="161"/>
      <c r="M64" s="161"/>
      <c r="N64" s="157"/>
      <c r="O64" s="158"/>
    </row>
    <row r="65" spans="1:15" ht="37.5" hidden="1" customHeight="1">
      <c r="A65" s="165"/>
      <c r="B65" s="166"/>
      <c r="C65" s="150"/>
      <c r="D65" s="150"/>
      <c r="E65" s="164"/>
      <c r="F65" s="164"/>
      <c r="G65" s="164"/>
      <c r="H65" s="164"/>
      <c r="I65" s="164"/>
      <c r="J65" s="164"/>
      <c r="K65" s="164"/>
      <c r="L65" s="159"/>
      <c r="M65" s="159"/>
      <c r="N65" s="153"/>
      <c r="O65" s="154"/>
    </row>
    <row r="66" spans="1:15" ht="37.5" hidden="1" customHeight="1">
      <c r="A66" s="167"/>
      <c r="B66" s="163"/>
      <c r="C66" s="151"/>
      <c r="D66" s="151"/>
      <c r="E66" s="163"/>
      <c r="F66" s="163"/>
      <c r="G66" s="163"/>
      <c r="H66" s="163"/>
      <c r="I66" s="163"/>
      <c r="J66" s="163"/>
      <c r="K66" s="163"/>
      <c r="L66" s="160"/>
      <c r="M66" s="160"/>
      <c r="N66" s="155"/>
      <c r="O66" s="156"/>
    </row>
    <row r="67" spans="1:15" ht="37.5" hidden="1" customHeight="1">
      <c r="A67" s="168"/>
      <c r="B67" s="162"/>
      <c r="C67" s="152"/>
      <c r="D67" s="152"/>
      <c r="E67" s="162"/>
      <c r="F67" s="162"/>
      <c r="G67" s="162"/>
      <c r="H67" s="162"/>
      <c r="I67" s="162"/>
      <c r="J67" s="162"/>
      <c r="K67" s="162"/>
      <c r="L67" s="161"/>
      <c r="M67" s="161"/>
      <c r="N67" s="157"/>
      <c r="O67" s="158"/>
    </row>
    <row r="68" spans="1:15" ht="37.5" hidden="1" customHeight="1">
      <c r="A68" s="165"/>
      <c r="B68" s="166"/>
      <c r="C68" s="150"/>
      <c r="D68" s="150"/>
      <c r="E68" s="164"/>
      <c r="F68" s="164"/>
      <c r="G68" s="164"/>
      <c r="H68" s="164"/>
      <c r="I68" s="164"/>
      <c r="J68" s="164"/>
      <c r="K68" s="164"/>
      <c r="L68" s="159"/>
      <c r="M68" s="159"/>
      <c r="N68" s="153"/>
      <c r="O68" s="154"/>
    </row>
    <row r="69" spans="1:15" ht="37.5" hidden="1" customHeight="1">
      <c r="A69" s="167"/>
      <c r="B69" s="163"/>
      <c r="C69" s="151"/>
      <c r="D69" s="151"/>
      <c r="E69" s="163"/>
      <c r="F69" s="163"/>
      <c r="G69" s="163"/>
      <c r="H69" s="163"/>
      <c r="I69" s="163"/>
      <c r="J69" s="163"/>
      <c r="K69" s="163"/>
      <c r="L69" s="160"/>
      <c r="M69" s="160"/>
      <c r="N69" s="155"/>
      <c r="O69" s="156"/>
    </row>
    <row r="70" spans="1:15" ht="37.5" hidden="1" customHeight="1">
      <c r="A70" s="168"/>
      <c r="B70" s="162"/>
      <c r="C70" s="152"/>
      <c r="D70" s="152"/>
      <c r="E70" s="162"/>
      <c r="F70" s="162"/>
      <c r="G70" s="162"/>
      <c r="H70" s="162"/>
      <c r="I70" s="162"/>
      <c r="J70" s="162"/>
      <c r="K70" s="162"/>
      <c r="L70" s="161"/>
      <c r="M70" s="161"/>
      <c r="N70" s="157"/>
      <c r="O70" s="158"/>
    </row>
    <row r="71" spans="1:15" ht="37.5" hidden="1" customHeight="1">
      <c r="A71" s="165"/>
      <c r="B71" s="166"/>
      <c r="C71" s="150"/>
      <c r="D71" s="150"/>
      <c r="E71" s="164"/>
      <c r="F71" s="164"/>
      <c r="G71" s="164"/>
      <c r="H71" s="164"/>
      <c r="I71" s="164"/>
      <c r="J71" s="164"/>
      <c r="K71" s="164"/>
      <c r="L71" s="159"/>
      <c r="M71" s="159"/>
      <c r="N71" s="153"/>
      <c r="O71" s="154"/>
    </row>
    <row r="72" spans="1:15" ht="37.5" hidden="1" customHeight="1">
      <c r="A72" s="167"/>
      <c r="B72" s="163"/>
      <c r="C72" s="151"/>
      <c r="D72" s="151"/>
      <c r="E72" s="163"/>
      <c r="F72" s="163"/>
      <c r="G72" s="163"/>
      <c r="H72" s="163"/>
      <c r="I72" s="163"/>
      <c r="J72" s="163"/>
      <c r="K72" s="163"/>
      <c r="L72" s="160"/>
      <c r="M72" s="160"/>
      <c r="N72" s="155"/>
      <c r="O72" s="156"/>
    </row>
    <row r="73" spans="1:15" ht="37.5" hidden="1" customHeight="1">
      <c r="A73" s="168"/>
      <c r="B73" s="162"/>
      <c r="C73" s="152"/>
      <c r="D73" s="152"/>
      <c r="E73" s="162"/>
      <c r="F73" s="162"/>
      <c r="G73" s="162"/>
      <c r="H73" s="162"/>
      <c r="I73" s="162"/>
      <c r="J73" s="162"/>
      <c r="K73" s="162"/>
      <c r="L73" s="161"/>
      <c r="M73" s="161"/>
      <c r="N73" s="157"/>
      <c r="O73" s="158"/>
    </row>
    <row r="74" spans="1:15" ht="37.5" hidden="1" customHeight="1">
      <c r="A74" s="165"/>
      <c r="B74" s="166"/>
      <c r="C74" s="150"/>
      <c r="D74" s="150"/>
      <c r="E74" s="164"/>
      <c r="F74" s="164"/>
      <c r="G74" s="164"/>
      <c r="H74" s="164"/>
      <c r="I74" s="164"/>
      <c r="J74" s="164"/>
      <c r="K74" s="164"/>
      <c r="L74" s="159"/>
      <c r="M74" s="159"/>
      <c r="N74" s="153"/>
      <c r="O74" s="154"/>
    </row>
    <row r="75" spans="1:15" ht="37.5" hidden="1" customHeight="1">
      <c r="A75" s="167"/>
      <c r="B75" s="163"/>
      <c r="C75" s="151"/>
      <c r="D75" s="151"/>
      <c r="E75" s="163"/>
      <c r="F75" s="163"/>
      <c r="G75" s="163"/>
      <c r="H75" s="163"/>
      <c r="I75" s="163"/>
      <c r="J75" s="163"/>
      <c r="K75" s="163"/>
      <c r="L75" s="160"/>
      <c r="M75" s="160"/>
      <c r="N75" s="155"/>
      <c r="O75" s="156"/>
    </row>
    <row r="76" spans="1:15" ht="37.5" hidden="1" customHeight="1">
      <c r="A76" s="168"/>
      <c r="B76" s="162"/>
      <c r="C76" s="152"/>
      <c r="D76" s="152"/>
      <c r="E76" s="162"/>
      <c r="F76" s="162"/>
      <c r="G76" s="162"/>
      <c r="H76" s="162"/>
      <c r="I76" s="162"/>
      <c r="J76" s="162"/>
      <c r="K76" s="162"/>
      <c r="L76" s="161"/>
      <c r="M76" s="161"/>
      <c r="N76" s="157"/>
      <c r="O76" s="158"/>
    </row>
    <row r="77" spans="1:15" ht="37.5" hidden="1" customHeight="1">
      <c r="A77" s="165"/>
      <c r="B77" s="166"/>
      <c r="C77" s="150"/>
      <c r="D77" s="150"/>
      <c r="E77" s="164"/>
      <c r="F77" s="164"/>
      <c r="G77" s="164"/>
      <c r="H77" s="164"/>
      <c r="I77" s="164"/>
      <c r="J77" s="164"/>
      <c r="K77" s="164"/>
      <c r="L77" s="159"/>
      <c r="M77" s="159"/>
      <c r="N77" s="153"/>
      <c r="O77" s="154"/>
    </row>
    <row r="78" spans="1:15" ht="37.5" hidden="1" customHeight="1">
      <c r="A78" s="167"/>
      <c r="B78" s="163"/>
      <c r="C78" s="151"/>
      <c r="D78" s="151"/>
      <c r="E78" s="163"/>
      <c r="F78" s="163"/>
      <c r="G78" s="163"/>
      <c r="H78" s="163"/>
      <c r="I78" s="163"/>
      <c r="J78" s="163"/>
      <c r="K78" s="163"/>
      <c r="L78" s="160"/>
      <c r="M78" s="160"/>
      <c r="N78" s="155"/>
      <c r="O78" s="156"/>
    </row>
    <row r="79" spans="1:15" ht="37.5" hidden="1" customHeight="1">
      <c r="A79" s="168"/>
      <c r="B79" s="162"/>
      <c r="C79" s="152"/>
      <c r="D79" s="152"/>
      <c r="E79" s="162"/>
      <c r="F79" s="162"/>
      <c r="G79" s="162"/>
      <c r="H79" s="162"/>
      <c r="I79" s="162"/>
      <c r="J79" s="162"/>
      <c r="K79" s="162"/>
      <c r="L79" s="161"/>
      <c r="M79" s="161"/>
      <c r="N79" s="157"/>
      <c r="O79" s="158"/>
    </row>
    <row r="80" spans="1:15" ht="37.5" hidden="1" customHeight="1">
      <c r="A80" s="165"/>
      <c r="B80" s="166"/>
      <c r="C80" s="150"/>
      <c r="D80" s="150"/>
      <c r="E80" s="164"/>
      <c r="F80" s="164"/>
      <c r="G80" s="164"/>
      <c r="H80" s="164"/>
      <c r="I80" s="164"/>
      <c r="J80" s="164"/>
      <c r="K80" s="164"/>
      <c r="L80" s="159"/>
      <c r="M80" s="159"/>
      <c r="N80" s="153"/>
      <c r="O80" s="154"/>
    </row>
    <row r="81" spans="1:15" ht="37.5" hidden="1" customHeight="1">
      <c r="A81" s="167"/>
      <c r="B81" s="163"/>
      <c r="C81" s="151"/>
      <c r="D81" s="151"/>
      <c r="E81" s="163"/>
      <c r="F81" s="163"/>
      <c r="G81" s="163"/>
      <c r="H81" s="163"/>
      <c r="I81" s="163"/>
      <c r="J81" s="163"/>
      <c r="K81" s="163"/>
      <c r="L81" s="160"/>
      <c r="M81" s="160"/>
      <c r="N81" s="155"/>
      <c r="O81" s="156"/>
    </row>
    <row r="82" spans="1:15" ht="37.5" hidden="1" customHeight="1">
      <c r="A82" s="168"/>
      <c r="B82" s="162"/>
      <c r="C82" s="152"/>
      <c r="D82" s="152"/>
      <c r="E82" s="162"/>
      <c r="F82" s="162"/>
      <c r="G82" s="162"/>
      <c r="H82" s="162"/>
      <c r="I82" s="162"/>
      <c r="J82" s="162"/>
      <c r="K82" s="162"/>
      <c r="L82" s="161"/>
      <c r="M82" s="161"/>
      <c r="N82" s="157"/>
      <c r="O82" s="158"/>
    </row>
    <row r="83" spans="1:15" ht="37.5" hidden="1" customHeight="1">
      <c r="A83" s="165"/>
      <c r="B83" s="166"/>
      <c r="C83" s="150"/>
      <c r="D83" s="150"/>
      <c r="E83" s="164"/>
      <c r="F83" s="164"/>
      <c r="G83" s="164"/>
      <c r="H83" s="164"/>
      <c r="I83" s="164"/>
      <c r="J83" s="164"/>
      <c r="K83" s="164"/>
      <c r="L83" s="159"/>
      <c r="M83" s="159"/>
      <c r="N83" s="153"/>
      <c r="O83" s="154"/>
    </row>
    <row r="84" spans="1:15" ht="37.5" hidden="1" customHeight="1">
      <c r="A84" s="167"/>
      <c r="B84" s="163"/>
      <c r="C84" s="151"/>
      <c r="D84" s="151"/>
      <c r="E84" s="163"/>
      <c r="F84" s="163"/>
      <c r="G84" s="163"/>
      <c r="H84" s="163"/>
      <c r="I84" s="163"/>
      <c r="J84" s="163"/>
      <c r="K84" s="163"/>
      <c r="L84" s="160"/>
      <c r="M84" s="160"/>
      <c r="N84" s="155"/>
      <c r="O84" s="156"/>
    </row>
    <row r="85" spans="1:15" ht="37.5" hidden="1" customHeight="1">
      <c r="A85" s="168"/>
      <c r="B85" s="162"/>
      <c r="C85" s="152"/>
      <c r="D85" s="152"/>
      <c r="E85" s="162"/>
      <c r="F85" s="162"/>
      <c r="G85" s="162"/>
      <c r="H85" s="162"/>
      <c r="I85" s="162"/>
      <c r="J85" s="162"/>
      <c r="K85" s="162"/>
      <c r="L85" s="161"/>
      <c r="M85" s="161"/>
      <c r="N85" s="157"/>
      <c r="O85" s="158"/>
    </row>
    <row r="86" spans="1:15" ht="37.5" hidden="1" customHeight="1">
      <c r="A86" s="165"/>
      <c r="B86" s="166"/>
      <c r="C86" s="150"/>
      <c r="D86" s="150"/>
      <c r="E86" s="164"/>
      <c r="F86" s="164"/>
      <c r="G86" s="164"/>
      <c r="H86" s="164"/>
      <c r="I86" s="164"/>
      <c r="J86" s="164"/>
      <c r="K86" s="164"/>
      <c r="L86" s="159"/>
      <c r="M86" s="159"/>
      <c r="N86" s="153"/>
      <c r="O86" s="154"/>
    </row>
    <row r="87" spans="1:15" ht="37.5" hidden="1" customHeight="1">
      <c r="A87" s="167"/>
      <c r="B87" s="163"/>
      <c r="C87" s="151"/>
      <c r="D87" s="151"/>
      <c r="E87" s="163"/>
      <c r="F87" s="163"/>
      <c r="G87" s="163"/>
      <c r="H87" s="163"/>
      <c r="I87" s="163"/>
      <c r="J87" s="163"/>
      <c r="K87" s="163"/>
      <c r="L87" s="160"/>
      <c r="M87" s="160"/>
      <c r="N87" s="155"/>
      <c r="O87" s="156"/>
    </row>
    <row r="88" spans="1:15" ht="37.5" hidden="1" customHeight="1">
      <c r="A88" s="168"/>
      <c r="B88" s="162"/>
      <c r="C88" s="152"/>
      <c r="D88" s="152"/>
      <c r="E88" s="162"/>
      <c r="F88" s="162"/>
      <c r="G88" s="162"/>
      <c r="H88" s="162"/>
      <c r="I88" s="162"/>
      <c r="J88" s="162"/>
      <c r="K88" s="162"/>
      <c r="L88" s="161"/>
      <c r="M88" s="161"/>
      <c r="N88" s="157"/>
      <c r="O88" s="158"/>
    </row>
    <row r="89" spans="1:15" ht="37.5" hidden="1" customHeight="1">
      <c r="A89" s="165"/>
      <c r="B89" s="166"/>
      <c r="C89" s="150"/>
      <c r="D89" s="150"/>
      <c r="E89" s="164"/>
      <c r="F89" s="164"/>
      <c r="G89" s="164"/>
      <c r="H89" s="164"/>
      <c r="I89" s="164"/>
      <c r="J89" s="164"/>
      <c r="K89" s="164"/>
      <c r="L89" s="159"/>
      <c r="M89" s="159"/>
      <c r="N89" s="153"/>
      <c r="O89" s="154"/>
    </row>
    <row r="90" spans="1:15" ht="37.5" hidden="1" customHeight="1">
      <c r="A90" s="167"/>
      <c r="B90" s="163"/>
      <c r="C90" s="151"/>
      <c r="D90" s="151"/>
      <c r="E90" s="163"/>
      <c r="F90" s="163"/>
      <c r="G90" s="163"/>
      <c r="H90" s="163"/>
      <c r="I90" s="163"/>
      <c r="J90" s="163"/>
      <c r="K90" s="163"/>
      <c r="L90" s="160"/>
      <c r="M90" s="160"/>
      <c r="N90" s="155"/>
      <c r="O90" s="156"/>
    </row>
    <row r="91" spans="1:15" ht="37.5" hidden="1" customHeight="1">
      <c r="A91" s="168"/>
      <c r="B91" s="162"/>
      <c r="C91" s="152"/>
      <c r="D91" s="152"/>
      <c r="E91" s="162"/>
      <c r="F91" s="162"/>
      <c r="G91" s="162"/>
      <c r="H91" s="162"/>
      <c r="I91" s="162"/>
      <c r="J91" s="162"/>
      <c r="K91" s="162"/>
      <c r="L91" s="161"/>
      <c r="M91" s="161"/>
      <c r="N91" s="157"/>
      <c r="O91" s="158"/>
    </row>
    <row r="92" spans="1:15" ht="37.5" hidden="1" customHeight="1">
      <c r="A92" s="165"/>
      <c r="B92" s="166"/>
      <c r="C92" s="150"/>
      <c r="D92" s="150"/>
      <c r="E92" s="164"/>
      <c r="F92" s="164"/>
      <c r="G92" s="164"/>
      <c r="H92" s="164"/>
      <c r="I92" s="164"/>
      <c r="J92" s="164"/>
      <c r="K92" s="164"/>
      <c r="L92" s="159"/>
      <c r="M92" s="159"/>
      <c r="N92" s="153"/>
      <c r="O92" s="154"/>
    </row>
    <row r="93" spans="1:15" ht="37.5" hidden="1" customHeight="1">
      <c r="A93" s="167"/>
      <c r="B93" s="163"/>
      <c r="C93" s="151"/>
      <c r="D93" s="151"/>
      <c r="E93" s="163"/>
      <c r="F93" s="163"/>
      <c r="G93" s="163"/>
      <c r="H93" s="163"/>
      <c r="I93" s="163"/>
      <c r="J93" s="163"/>
      <c r="K93" s="163"/>
      <c r="L93" s="160"/>
      <c r="M93" s="160"/>
      <c r="N93" s="155"/>
      <c r="O93" s="156"/>
    </row>
    <row r="94" spans="1:15" ht="37.5" hidden="1" customHeight="1">
      <c r="A94" s="168"/>
      <c r="B94" s="162"/>
      <c r="C94" s="152"/>
      <c r="D94" s="152"/>
      <c r="E94" s="162"/>
      <c r="F94" s="162"/>
      <c r="G94" s="162"/>
      <c r="H94" s="162"/>
      <c r="I94" s="162"/>
      <c r="J94" s="162"/>
      <c r="K94" s="162"/>
      <c r="L94" s="161"/>
      <c r="M94" s="161"/>
      <c r="N94" s="157"/>
      <c r="O94" s="158"/>
    </row>
    <row r="95" spans="1:15" ht="37.5" hidden="1" customHeight="1">
      <c r="A95" s="165"/>
      <c r="B95" s="166"/>
      <c r="C95" s="150"/>
      <c r="D95" s="150"/>
      <c r="E95" s="164"/>
      <c r="F95" s="164"/>
      <c r="G95" s="164"/>
      <c r="H95" s="164"/>
      <c r="I95" s="164"/>
      <c r="J95" s="164"/>
      <c r="K95" s="164"/>
      <c r="L95" s="159"/>
      <c r="M95" s="159"/>
      <c r="N95" s="153"/>
      <c r="O95" s="154"/>
    </row>
    <row r="96" spans="1:15" ht="37.5" hidden="1" customHeight="1">
      <c r="A96" s="167"/>
      <c r="B96" s="163"/>
      <c r="C96" s="151"/>
      <c r="D96" s="151"/>
      <c r="E96" s="163"/>
      <c r="F96" s="163"/>
      <c r="G96" s="163"/>
      <c r="H96" s="163"/>
      <c r="I96" s="163"/>
      <c r="J96" s="163"/>
      <c r="K96" s="163"/>
      <c r="L96" s="160"/>
      <c r="M96" s="160"/>
      <c r="N96" s="155"/>
      <c r="O96" s="156"/>
    </row>
    <row r="97" spans="1:15" ht="37.5" hidden="1" customHeight="1">
      <c r="A97" s="168"/>
      <c r="B97" s="162"/>
      <c r="C97" s="152"/>
      <c r="D97" s="152"/>
      <c r="E97" s="162"/>
      <c r="F97" s="162"/>
      <c r="G97" s="162"/>
      <c r="H97" s="162"/>
      <c r="I97" s="162"/>
      <c r="J97" s="162"/>
      <c r="K97" s="162"/>
      <c r="L97" s="161"/>
      <c r="M97" s="161"/>
      <c r="N97" s="157"/>
      <c r="O97" s="158"/>
    </row>
    <row r="98" spans="1:15" ht="37.5" hidden="1" customHeight="1">
      <c r="A98" s="165"/>
      <c r="B98" s="166"/>
      <c r="C98" s="150"/>
      <c r="D98" s="150"/>
      <c r="E98" s="164"/>
      <c r="F98" s="164"/>
      <c r="G98" s="164"/>
      <c r="H98" s="164"/>
      <c r="I98" s="164"/>
      <c r="J98" s="164"/>
      <c r="K98" s="164"/>
      <c r="L98" s="159"/>
      <c r="M98" s="159"/>
      <c r="N98" s="153"/>
      <c r="O98" s="154"/>
    </row>
    <row r="99" spans="1:15" ht="37.5" hidden="1" customHeight="1">
      <c r="A99" s="167"/>
      <c r="B99" s="163"/>
      <c r="C99" s="151"/>
      <c r="D99" s="151"/>
      <c r="E99" s="163"/>
      <c r="F99" s="163"/>
      <c r="G99" s="163"/>
      <c r="H99" s="163"/>
      <c r="I99" s="163"/>
      <c r="J99" s="163"/>
      <c r="K99" s="163"/>
      <c r="L99" s="160"/>
      <c r="M99" s="160"/>
      <c r="N99" s="155"/>
      <c r="O99" s="156"/>
    </row>
    <row r="100" spans="1:15" ht="37.5" hidden="1" customHeight="1">
      <c r="A100" s="168"/>
      <c r="B100" s="162"/>
      <c r="C100" s="152"/>
      <c r="D100" s="152"/>
      <c r="E100" s="162"/>
      <c r="F100" s="162"/>
      <c r="G100" s="162"/>
      <c r="H100" s="162"/>
      <c r="I100" s="162"/>
      <c r="J100" s="162"/>
      <c r="K100" s="162"/>
      <c r="L100" s="161"/>
      <c r="M100" s="161"/>
      <c r="N100" s="157"/>
      <c r="O100" s="158"/>
    </row>
    <row r="101" spans="1:15" ht="37.5" hidden="1" customHeight="1">
      <c r="A101" s="165"/>
      <c r="B101" s="166"/>
      <c r="C101" s="150"/>
      <c r="D101" s="150"/>
      <c r="E101" s="164"/>
      <c r="F101" s="164"/>
      <c r="G101" s="164"/>
      <c r="H101" s="164"/>
      <c r="I101" s="164"/>
      <c r="J101" s="164"/>
      <c r="K101" s="164"/>
      <c r="L101" s="159"/>
      <c r="M101" s="159"/>
      <c r="N101" s="153"/>
      <c r="O101" s="154"/>
    </row>
    <row r="102" spans="1:15" ht="37.5" hidden="1" customHeight="1">
      <c r="A102" s="167"/>
      <c r="B102" s="163"/>
      <c r="C102" s="151"/>
      <c r="D102" s="151"/>
      <c r="E102" s="163"/>
      <c r="F102" s="163"/>
      <c r="G102" s="163"/>
      <c r="H102" s="163"/>
      <c r="I102" s="163"/>
      <c r="J102" s="163"/>
      <c r="K102" s="163"/>
      <c r="L102" s="160"/>
      <c r="M102" s="160"/>
      <c r="N102" s="155"/>
      <c r="O102" s="156"/>
    </row>
    <row r="103" spans="1:15" ht="37.5" hidden="1" customHeight="1">
      <c r="A103" s="168"/>
      <c r="B103" s="162"/>
      <c r="C103" s="152"/>
      <c r="D103" s="152"/>
      <c r="E103" s="162"/>
      <c r="F103" s="162"/>
      <c r="G103" s="162"/>
      <c r="H103" s="162"/>
      <c r="I103" s="162"/>
      <c r="J103" s="162"/>
      <c r="K103" s="162"/>
      <c r="L103" s="161"/>
      <c r="M103" s="161"/>
      <c r="N103" s="157"/>
      <c r="O103" s="158"/>
    </row>
    <row r="104" spans="1:15" ht="37.5" hidden="1" customHeight="1">
      <c r="A104" s="165"/>
      <c r="B104" s="166"/>
      <c r="C104" s="150"/>
      <c r="D104" s="150"/>
      <c r="E104" s="164"/>
      <c r="F104" s="164"/>
      <c r="G104" s="164"/>
      <c r="H104" s="164"/>
      <c r="I104" s="164"/>
      <c r="J104" s="164"/>
      <c r="K104" s="164"/>
      <c r="L104" s="159"/>
      <c r="M104" s="159"/>
      <c r="N104" s="153"/>
      <c r="O104" s="154"/>
    </row>
    <row r="105" spans="1:15" ht="37.5" hidden="1" customHeight="1">
      <c r="A105" s="167"/>
      <c r="B105" s="163"/>
      <c r="C105" s="151"/>
      <c r="D105" s="151"/>
      <c r="E105" s="163"/>
      <c r="F105" s="163"/>
      <c r="G105" s="163"/>
      <c r="H105" s="163"/>
      <c r="I105" s="163"/>
      <c r="J105" s="163"/>
      <c r="K105" s="163"/>
      <c r="L105" s="160"/>
      <c r="M105" s="160"/>
      <c r="N105" s="155"/>
      <c r="O105" s="156"/>
    </row>
    <row r="106" spans="1:15" ht="37.5" hidden="1" customHeight="1">
      <c r="A106" s="168"/>
      <c r="B106" s="162"/>
      <c r="C106" s="152"/>
      <c r="D106" s="152"/>
      <c r="E106" s="162"/>
      <c r="F106" s="162"/>
      <c r="G106" s="162"/>
      <c r="H106" s="162"/>
      <c r="I106" s="162"/>
      <c r="J106" s="162"/>
      <c r="K106" s="162"/>
      <c r="L106" s="161"/>
      <c r="M106" s="161"/>
      <c r="N106" s="157"/>
      <c r="O106" s="158"/>
    </row>
    <row r="107" spans="1:15" ht="37.5" hidden="1" customHeight="1">
      <c r="A107" s="165"/>
      <c r="B107" s="166"/>
      <c r="C107" s="150"/>
      <c r="D107" s="150"/>
      <c r="E107" s="164"/>
      <c r="F107" s="164"/>
      <c r="G107" s="164"/>
      <c r="H107" s="164"/>
      <c r="I107" s="164"/>
      <c r="J107" s="164"/>
      <c r="K107" s="164"/>
      <c r="L107" s="159"/>
      <c r="M107" s="159"/>
      <c r="N107" s="153"/>
      <c r="O107" s="154"/>
    </row>
    <row r="108" spans="1:15" ht="37.5" hidden="1" customHeight="1">
      <c r="A108" s="167"/>
      <c r="B108" s="163"/>
      <c r="C108" s="151"/>
      <c r="D108" s="151"/>
      <c r="E108" s="163"/>
      <c r="F108" s="163"/>
      <c r="G108" s="163"/>
      <c r="H108" s="163"/>
      <c r="I108" s="163"/>
      <c r="J108" s="163"/>
      <c r="K108" s="163"/>
      <c r="L108" s="160"/>
      <c r="M108" s="160"/>
      <c r="N108" s="155"/>
      <c r="O108" s="156"/>
    </row>
    <row r="109" spans="1:15" ht="37.5" hidden="1" customHeight="1">
      <c r="A109" s="168"/>
      <c r="B109" s="162"/>
      <c r="C109" s="152"/>
      <c r="D109" s="152"/>
      <c r="E109" s="162"/>
      <c r="F109" s="162"/>
      <c r="G109" s="162"/>
      <c r="H109" s="162"/>
      <c r="I109" s="162"/>
      <c r="J109" s="162"/>
      <c r="K109" s="162"/>
      <c r="L109" s="161"/>
      <c r="M109" s="161"/>
      <c r="N109" s="157"/>
      <c r="O109" s="158"/>
    </row>
    <row r="110" spans="1:15" ht="37.5" hidden="1" customHeight="1">
      <c r="A110" s="165"/>
      <c r="B110" s="166"/>
      <c r="C110" s="150"/>
      <c r="D110" s="150"/>
      <c r="E110" s="164"/>
      <c r="F110" s="164"/>
      <c r="G110" s="164"/>
      <c r="H110" s="164"/>
      <c r="I110" s="164"/>
      <c r="J110" s="164"/>
      <c r="K110" s="164"/>
      <c r="L110" s="159"/>
      <c r="M110" s="159"/>
      <c r="N110" s="153"/>
      <c r="O110" s="154"/>
    </row>
    <row r="111" spans="1:15" ht="37.5" hidden="1" customHeight="1">
      <c r="A111" s="167"/>
      <c r="B111" s="163"/>
      <c r="C111" s="151"/>
      <c r="D111" s="151"/>
      <c r="E111" s="163"/>
      <c r="F111" s="163"/>
      <c r="G111" s="163"/>
      <c r="H111" s="163"/>
      <c r="I111" s="163"/>
      <c r="J111" s="163"/>
      <c r="K111" s="163"/>
      <c r="L111" s="160"/>
      <c r="M111" s="160"/>
      <c r="N111" s="155"/>
      <c r="O111" s="156"/>
    </row>
    <row r="112" spans="1:15" ht="37.5" hidden="1" customHeight="1">
      <c r="A112" s="168"/>
      <c r="B112" s="162"/>
      <c r="C112" s="152"/>
      <c r="D112" s="152"/>
      <c r="E112" s="162"/>
      <c r="F112" s="162"/>
      <c r="G112" s="162"/>
      <c r="H112" s="162"/>
      <c r="I112" s="162"/>
      <c r="J112" s="162"/>
      <c r="K112" s="162"/>
      <c r="L112" s="161"/>
      <c r="M112" s="161"/>
      <c r="N112" s="157"/>
      <c r="O112" s="158"/>
    </row>
    <row r="113" spans="1:15" ht="37.5" hidden="1" customHeight="1">
      <c r="A113" s="165"/>
      <c r="B113" s="166"/>
      <c r="C113" s="150"/>
      <c r="D113" s="150"/>
      <c r="E113" s="164"/>
      <c r="F113" s="164"/>
      <c r="G113" s="164"/>
      <c r="H113" s="164"/>
      <c r="I113" s="164"/>
      <c r="J113" s="164"/>
      <c r="K113" s="164"/>
      <c r="L113" s="159"/>
      <c r="M113" s="159"/>
      <c r="N113" s="153"/>
      <c r="O113" s="154"/>
    </row>
    <row r="114" spans="1:15" ht="37.5" hidden="1" customHeight="1">
      <c r="A114" s="167"/>
      <c r="B114" s="163"/>
      <c r="C114" s="151"/>
      <c r="D114" s="151"/>
      <c r="E114" s="163"/>
      <c r="F114" s="163"/>
      <c r="G114" s="163"/>
      <c r="H114" s="163"/>
      <c r="I114" s="163"/>
      <c r="J114" s="163"/>
      <c r="K114" s="163"/>
      <c r="L114" s="160"/>
      <c r="M114" s="160"/>
      <c r="N114" s="155"/>
      <c r="O114" s="156"/>
    </row>
    <row r="115" spans="1:15" ht="37.5" hidden="1" customHeight="1">
      <c r="A115" s="168"/>
      <c r="B115" s="162"/>
      <c r="C115" s="152"/>
      <c r="D115" s="152"/>
      <c r="E115" s="162"/>
      <c r="F115" s="162"/>
      <c r="G115" s="162"/>
      <c r="H115" s="162"/>
      <c r="I115" s="162"/>
      <c r="J115" s="162"/>
      <c r="K115" s="162"/>
      <c r="L115" s="161"/>
      <c r="M115" s="161"/>
      <c r="N115" s="157"/>
      <c r="O115" s="158"/>
    </row>
    <row r="116" spans="1:15" ht="37.5" hidden="1" customHeight="1">
      <c r="A116" s="165"/>
      <c r="B116" s="166"/>
      <c r="C116" s="150"/>
      <c r="D116" s="150"/>
      <c r="E116" s="164"/>
      <c r="F116" s="164"/>
      <c r="G116" s="164"/>
      <c r="H116" s="164"/>
      <c r="I116" s="164"/>
      <c r="J116" s="164"/>
      <c r="K116" s="164"/>
      <c r="L116" s="159"/>
      <c r="M116" s="159"/>
      <c r="N116" s="153"/>
      <c r="O116" s="154"/>
    </row>
    <row r="117" spans="1:15" ht="37.5" hidden="1" customHeight="1">
      <c r="A117" s="167"/>
      <c r="B117" s="163"/>
      <c r="C117" s="151"/>
      <c r="D117" s="151"/>
      <c r="E117" s="163"/>
      <c r="F117" s="163"/>
      <c r="G117" s="163"/>
      <c r="H117" s="163"/>
      <c r="I117" s="163"/>
      <c r="J117" s="163"/>
      <c r="K117" s="163"/>
      <c r="L117" s="160"/>
      <c r="M117" s="160"/>
      <c r="N117" s="155"/>
      <c r="O117" s="156"/>
    </row>
    <row r="118" spans="1:15" ht="37.5" hidden="1" customHeight="1">
      <c r="A118" s="168"/>
      <c r="B118" s="162"/>
      <c r="C118" s="152"/>
      <c r="D118" s="152"/>
      <c r="E118" s="162"/>
      <c r="F118" s="162"/>
      <c r="G118" s="162"/>
      <c r="H118" s="162"/>
      <c r="I118" s="162"/>
      <c r="J118" s="162"/>
      <c r="K118" s="162"/>
      <c r="L118" s="161"/>
      <c r="M118" s="161"/>
      <c r="N118" s="157"/>
      <c r="O118" s="158"/>
    </row>
    <row r="119" spans="1:15" ht="37.5" hidden="1" customHeight="1">
      <c r="A119" s="165"/>
      <c r="B119" s="166"/>
      <c r="C119" s="150"/>
      <c r="D119" s="150"/>
      <c r="E119" s="164"/>
      <c r="F119" s="164"/>
      <c r="G119" s="164"/>
      <c r="H119" s="164"/>
      <c r="I119" s="164"/>
      <c r="J119" s="164"/>
      <c r="K119" s="164"/>
      <c r="L119" s="159"/>
      <c r="M119" s="159"/>
      <c r="N119" s="153"/>
      <c r="O119" s="154"/>
    </row>
    <row r="120" spans="1:15" ht="37.5" hidden="1" customHeight="1">
      <c r="A120" s="167"/>
      <c r="B120" s="163"/>
      <c r="C120" s="151"/>
      <c r="D120" s="151"/>
      <c r="E120" s="163"/>
      <c r="F120" s="163"/>
      <c r="G120" s="163"/>
      <c r="H120" s="163"/>
      <c r="I120" s="163"/>
      <c r="J120" s="163"/>
      <c r="K120" s="163"/>
      <c r="L120" s="160"/>
      <c r="M120" s="160"/>
      <c r="N120" s="155"/>
      <c r="O120" s="156"/>
    </row>
    <row r="121" spans="1:15" ht="37.5" hidden="1" customHeight="1">
      <c r="A121" s="168"/>
      <c r="B121" s="162"/>
      <c r="C121" s="152"/>
      <c r="D121" s="152"/>
      <c r="E121" s="162"/>
      <c r="F121" s="162"/>
      <c r="G121" s="162"/>
      <c r="H121" s="162"/>
      <c r="I121" s="162"/>
      <c r="J121" s="162"/>
      <c r="K121" s="162"/>
      <c r="L121" s="161"/>
      <c r="M121" s="161"/>
      <c r="N121" s="157"/>
      <c r="O121" s="158"/>
    </row>
    <row r="122" spans="1:15" ht="37.5" hidden="1" customHeight="1">
      <c r="A122" s="165"/>
      <c r="B122" s="166"/>
      <c r="C122" s="150"/>
      <c r="D122" s="150"/>
      <c r="E122" s="164"/>
      <c r="F122" s="164"/>
      <c r="G122" s="164"/>
      <c r="H122" s="164"/>
      <c r="I122" s="164"/>
      <c r="J122" s="164"/>
      <c r="K122" s="164"/>
      <c r="L122" s="159"/>
      <c r="M122" s="159"/>
      <c r="N122" s="153"/>
      <c r="O122" s="154"/>
    </row>
    <row r="123" spans="1:15" ht="37.5" hidden="1" customHeight="1">
      <c r="A123" s="167"/>
      <c r="B123" s="163"/>
      <c r="C123" s="151"/>
      <c r="D123" s="151"/>
      <c r="E123" s="163"/>
      <c r="F123" s="163"/>
      <c r="G123" s="163"/>
      <c r="H123" s="163"/>
      <c r="I123" s="163"/>
      <c r="J123" s="163"/>
      <c r="K123" s="163"/>
      <c r="L123" s="160"/>
      <c r="M123" s="160"/>
      <c r="N123" s="155"/>
      <c r="O123" s="156"/>
    </row>
    <row r="124" spans="1:15" ht="37.5" hidden="1" customHeight="1">
      <c r="A124" s="168"/>
      <c r="B124" s="162"/>
      <c r="C124" s="152"/>
      <c r="D124" s="152"/>
      <c r="E124" s="162"/>
      <c r="F124" s="162"/>
      <c r="G124" s="162"/>
      <c r="H124" s="162"/>
      <c r="I124" s="162"/>
      <c r="J124" s="162"/>
      <c r="K124" s="162"/>
      <c r="L124" s="161"/>
      <c r="M124" s="161"/>
      <c r="N124" s="157"/>
      <c r="O124" s="158"/>
    </row>
    <row r="125" spans="1:15" ht="37.5" hidden="1" customHeight="1">
      <c r="A125" s="165"/>
      <c r="B125" s="166"/>
      <c r="C125" s="150"/>
      <c r="D125" s="150"/>
      <c r="E125" s="164"/>
      <c r="F125" s="164"/>
      <c r="G125" s="164"/>
      <c r="H125" s="164"/>
      <c r="I125" s="164"/>
      <c r="J125" s="164"/>
      <c r="K125" s="164"/>
      <c r="L125" s="159"/>
      <c r="M125" s="159"/>
      <c r="N125" s="153"/>
      <c r="O125" s="154"/>
    </row>
    <row r="126" spans="1:15" ht="37.5" hidden="1" customHeight="1">
      <c r="A126" s="167"/>
      <c r="B126" s="163"/>
      <c r="C126" s="151"/>
      <c r="D126" s="151"/>
      <c r="E126" s="163"/>
      <c r="F126" s="163"/>
      <c r="G126" s="163"/>
      <c r="H126" s="163"/>
      <c r="I126" s="163"/>
      <c r="J126" s="163"/>
      <c r="K126" s="163"/>
      <c r="L126" s="160"/>
      <c r="M126" s="160"/>
      <c r="N126" s="155"/>
      <c r="O126" s="156"/>
    </row>
    <row r="127" spans="1:15" ht="37.5" hidden="1" customHeight="1">
      <c r="A127" s="168"/>
      <c r="B127" s="162"/>
      <c r="C127" s="152"/>
      <c r="D127" s="152"/>
      <c r="E127" s="162"/>
      <c r="F127" s="162"/>
      <c r="G127" s="162"/>
      <c r="H127" s="162"/>
      <c r="I127" s="162"/>
      <c r="J127" s="162"/>
      <c r="K127" s="162"/>
      <c r="L127" s="161"/>
      <c r="M127" s="161"/>
      <c r="N127" s="157"/>
      <c r="O127" s="158"/>
    </row>
    <row r="128" spans="1:15" ht="37.5" hidden="1" customHeight="1">
      <c r="A128" s="165"/>
      <c r="B128" s="166"/>
      <c r="C128" s="150"/>
      <c r="D128" s="150"/>
      <c r="E128" s="164"/>
      <c r="F128" s="164"/>
      <c r="G128" s="164"/>
      <c r="H128" s="164"/>
      <c r="I128" s="164"/>
      <c r="J128" s="164"/>
      <c r="K128" s="164"/>
      <c r="L128" s="159"/>
      <c r="M128" s="159"/>
      <c r="N128" s="153"/>
      <c r="O128" s="154"/>
    </row>
    <row r="129" spans="1:15" ht="37.5" hidden="1" customHeight="1">
      <c r="A129" s="167"/>
      <c r="B129" s="163"/>
      <c r="C129" s="151"/>
      <c r="D129" s="151"/>
      <c r="E129" s="163"/>
      <c r="F129" s="163"/>
      <c r="G129" s="163"/>
      <c r="H129" s="163"/>
      <c r="I129" s="163"/>
      <c r="J129" s="163"/>
      <c r="K129" s="163"/>
      <c r="L129" s="160"/>
      <c r="M129" s="160"/>
      <c r="N129" s="155"/>
      <c r="O129" s="156"/>
    </row>
    <row r="130" spans="1:15" ht="37.5" hidden="1" customHeight="1">
      <c r="A130" s="168"/>
      <c r="B130" s="162"/>
      <c r="C130" s="152"/>
      <c r="D130" s="152"/>
      <c r="E130" s="162"/>
      <c r="F130" s="162"/>
      <c r="G130" s="162"/>
      <c r="H130" s="162"/>
      <c r="I130" s="162"/>
      <c r="J130" s="162"/>
      <c r="K130" s="162"/>
      <c r="L130" s="161"/>
      <c r="M130" s="161"/>
      <c r="N130" s="157"/>
      <c r="O130" s="158"/>
    </row>
    <row r="131" spans="1:15" ht="37.5" hidden="1" customHeight="1">
      <c r="A131" s="165"/>
      <c r="B131" s="166"/>
      <c r="C131" s="150"/>
      <c r="D131" s="150"/>
      <c r="E131" s="164"/>
      <c r="F131" s="164"/>
      <c r="G131" s="164"/>
      <c r="H131" s="164"/>
      <c r="I131" s="164"/>
      <c r="J131" s="164"/>
      <c r="K131" s="164"/>
      <c r="L131" s="159"/>
      <c r="M131" s="159"/>
      <c r="N131" s="153"/>
      <c r="O131" s="154"/>
    </row>
    <row r="132" spans="1:15" ht="37.5" hidden="1" customHeight="1">
      <c r="A132" s="167"/>
      <c r="B132" s="163"/>
      <c r="C132" s="151"/>
      <c r="D132" s="151"/>
      <c r="E132" s="163"/>
      <c r="F132" s="163"/>
      <c r="G132" s="163"/>
      <c r="H132" s="163"/>
      <c r="I132" s="163"/>
      <c r="J132" s="163"/>
      <c r="K132" s="163"/>
      <c r="L132" s="160"/>
      <c r="M132" s="160"/>
      <c r="N132" s="155"/>
      <c r="O132" s="156"/>
    </row>
    <row r="133" spans="1:15" ht="37.5" hidden="1" customHeight="1">
      <c r="A133" s="168"/>
      <c r="B133" s="162"/>
      <c r="C133" s="152"/>
      <c r="D133" s="152"/>
      <c r="E133" s="162"/>
      <c r="F133" s="162"/>
      <c r="G133" s="162"/>
      <c r="H133" s="162"/>
      <c r="I133" s="162"/>
      <c r="J133" s="162"/>
      <c r="K133" s="162"/>
      <c r="L133" s="161"/>
      <c r="M133" s="161"/>
      <c r="N133" s="157"/>
      <c r="O133" s="158"/>
    </row>
    <row r="134" spans="1:15" ht="37.5" hidden="1" customHeight="1">
      <c r="A134" s="165"/>
      <c r="B134" s="166"/>
      <c r="C134" s="150"/>
      <c r="D134" s="150"/>
      <c r="E134" s="164"/>
      <c r="F134" s="164"/>
      <c r="G134" s="164"/>
      <c r="H134" s="164"/>
      <c r="I134" s="164"/>
      <c r="J134" s="164"/>
      <c r="K134" s="164"/>
      <c r="L134" s="159"/>
      <c r="M134" s="159"/>
      <c r="N134" s="153"/>
      <c r="O134" s="154"/>
    </row>
    <row r="135" spans="1:15" ht="37.5" hidden="1" customHeight="1">
      <c r="A135" s="167"/>
      <c r="B135" s="163"/>
      <c r="C135" s="151"/>
      <c r="D135" s="151"/>
      <c r="E135" s="163"/>
      <c r="F135" s="163"/>
      <c r="G135" s="163"/>
      <c r="H135" s="163"/>
      <c r="I135" s="163"/>
      <c r="J135" s="163"/>
      <c r="K135" s="163"/>
      <c r="L135" s="160"/>
      <c r="M135" s="160"/>
      <c r="N135" s="155"/>
      <c r="O135" s="156"/>
    </row>
    <row r="136" spans="1:15" ht="37.5" hidden="1" customHeight="1">
      <c r="A136" s="168"/>
      <c r="B136" s="162"/>
      <c r="C136" s="152"/>
      <c r="D136" s="152"/>
      <c r="E136" s="162"/>
      <c r="F136" s="162"/>
      <c r="G136" s="162"/>
      <c r="H136" s="162"/>
      <c r="I136" s="162"/>
      <c r="J136" s="162"/>
      <c r="K136" s="162"/>
      <c r="L136" s="161"/>
      <c r="M136" s="161"/>
      <c r="N136" s="157"/>
      <c r="O136" s="158"/>
    </row>
    <row r="137" spans="1:15" ht="37.5" hidden="1" customHeight="1">
      <c r="A137" s="165"/>
      <c r="B137" s="166"/>
      <c r="C137" s="150"/>
      <c r="D137" s="150"/>
      <c r="E137" s="164"/>
      <c r="F137" s="164"/>
      <c r="G137" s="164"/>
      <c r="H137" s="164"/>
      <c r="I137" s="164"/>
      <c r="J137" s="164"/>
      <c r="K137" s="164"/>
      <c r="L137" s="159"/>
      <c r="M137" s="159"/>
      <c r="N137" s="153"/>
      <c r="O137" s="154"/>
    </row>
    <row r="138" spans="1:15" ht="37.5" hidden="1" customHeight="1">
      <c r="A138" s="167"/>
      <c r="B138" s="163"/>
      <c r="C138" s="151"/>
      <c r="D138" s="151"/>
      <c r="E138" s="163"/>
      <c r="F138" s="163"/>
      <c r="G138" s="163"/>
      <c r="H138" s="163"/>
      <c r="I138" s="163"/>
      <c r="J138" s="163"/>
      <c r="K138" s="163"/>
      <c r="L138" s="160"/>
      <c r="M138" s="160"/>
      <c r="N138" s="155"/>
      <c r="O138" s="156"/>
    </row>
    <row r="139" spans="1:15" ht="37.5" hidden="1" customHeight="1">
      <c r="A139" s="168"/>
      <c r="B139" s="162"/>
      <c r="C139" s="152"/>
      <c r="D139" s="152"/>
      <c r="E139" s="162"/>
      <c r="F139" s="162"/>
      <c r="G139" s="162"/>
      <c r="H139" s="162"/>
      <c r="I139" s="162"/>
      <c r="J139" s="162"/>
      <c r="K139" s="162"/>
      <c r="L139" s="161"/>
      <c r="M139" s="161"/>
      <c r="N139" s="157"/>
      <c r="O139" s="158"/>
    </row>
    <row r="140" spans="1:15" ht="37.5" hidden="1" customHeight="1">
      <c r="A140" s="165"/>
      <c r="B140" s="166"/>
      <c r="C140" s="150"/>
      <c r="D140" s="150"/>
      <c r="E140" s="164"/>
      <c r="F140" s="164"/>
      <c r="G140" s="164"/>
      <c r="H140" s="164"/>
      <c r="I140" s="164"/>
      <c r="J140" s="164"/>
      <c r="K140" s="164"/>
      <c r="L140" s="159"/>
      <c r="M140" s="159"/>
      <c r="N140" s="153"/>
      <c r="O140" s="154"/>
    </row>
    <row r="141" spans="1:15" ht="37.5" hidden="1" customHeight="1">
      <c r="A141" s="167"/>
      <c r="B141" s="163"/>
      <c r="C141" s="151"/>
      <c r="D141" s="151"/>
      <c r="E141" s="163"/>
      <c r="F141" s="163"/>
      <c r="G141" s="163"/>
      <c r="H141" s="163"/>
      <c r="I141" s="163"/>
      <c r="J141" s="163"/>
      <c r="K141" s="163"/>
      <c r="L141" s="160"/>
      <c r="M141" s="160"/>
      <c r="N141" s="155"/>
      <c r="O141" s="156"/>
    </row>
    <row r="142" spans="1:15" ht="37.5" hidden="1" customHeight="1">
      <c r="A142" s="168"/>
      <c r="B142" s="162"/>
      <c r="C142" s="152"/>
      <c r="D142" s="152"/>
      <c r="E142" s="162"/>
      <c r="F142" s="162"/>
      <c r="G142" s="162"/>
      <c r="H142" s="162"/>
      <c r="I142" s="162"/>
      <c r="J142" s="162"/>
      <c r="K142" s="162"/>
      <c r="L142" s="161"/>
      <c r="M142" s="161"/>
      <c r="N142" s="157"/>
      <c r="O142" s="158"/>
    </row>
    <row r="143" spans="1:15" ht="37.5" hidden="1" customHeight="1">
      <c r="A143" s="165"/>
      <c r="B143" s="166"/>
      <c r="C143" s="150"/>
      <c r="D143" s="150"/>
      <c r="E143" s="164"/>
      <c r="F143" s="164"/>
      <c r="G143" s="164"/>
      <c r="H143" s="164"/>
      <c r="I143" s="164"/>
      <c r="J143" s="164"/>
      <c r="K143" s="164"/>
      <c r="L143" s="159"/>
      <c r="M143" s="159"/>
      <c r="N143" s="153"/>
      <c r="O143" s="154"/>
    </row>
    <row r="144" spans="1:15" ht="37.5" hidden="1" customHeight="1">
      <c r="A144" s="167"/>
      <c r="B144" s="163"/>
      <c r="C144" s="151"/>
      <c r="D144" s="151"/>
      <c r="E144" s="163"/>
      <c r="F144" s="163"/>
      <c r="G144" s="163"/>
      <c r="H144" s="163"/>
      <c r="I144" s="163"/>
      <c r="J144" s="163"/>
      <c r="K144" s="163"/>
      <c r="L144" s="160"/>
      <c r="M144" s="160"/>
      <c r="N144" s="155"/>
      <c r="O144" s="156"/>
    </row>
    <row r="145" spans="1:15" ht="37.5" hidden="1" customHeight="1">
      <c r="A145" s="168"/>
      <c r="B145" s="162"/>
      <c r="C145" s="152"/>
      <c r="D145" s="152"/>
      <c r="E145" s="162"/>
      <c r="F145" s="162"/>
      <c r="G145" s="162"/>
      <c r="H145" s="162"/>
      <c r="I145" s="162"/>
      <c r="J145" s="162"/>
      <c r="K145" s="162"/>
      <c r="L145" s="161"/>
      <c r="M145" s="161"/>
      <c r="N145" s="157"/>
      <c r="O145" s="158"/>
    </row>
    <row r="146" spans="1:15" ht="37.5" hidden="1" customHeight="1">
      <c r="A146" s="165"/>
      <c r="B146" s="166"/>
      <c r="C146" s="150"/>
      <c r="D146" s="150"/>
      <c r="E146" s="164"/>
      <c r="F146" s="164"/>
      <c r="G146" s="164"/>
      <c r="H146" s="164"/>
      <c r="I146" s="164"/>
      <c r="J146" s="164"/>
      <c r="K146" s="164"/>
      <c r="L146" s="159"/>
      <c r="M146" s="159"/>
      <c r="N146" s="153"/>
      <c r="O146" s="154"/>
    </row>
    <row r="147" spans="1:15" ht="37.5" hidden="1" customHeight="1">
      <c r="A147" s="167"/>
      <c r="B147" s="163"/>
      <c r="C147" s="151"/>
      <c r="D147" s="151"/>
      <c r="E147" s="163"/>
      <c r="F147" s="163"/>
      <c r="G147" s="163"/>
      <c r="H147" s="163"/>
      <c r="I147" s="163"/>
      <c r="J147" s="163"/>
      <c r="K147" s="163"/>
      <c r="L147" s="160"/>
      <c r="M147" s="160"/>
      <c r="N147" s="155"/>
      <c r="O147" s="156"/>
    </row>
    <row r="148" spans="1:15" ht="37.5" hidden="1" customHeight="1">
      <c r="A148" s="168"/>
      <c r="B148" s="162"/>
      <c r="C148" s="152"/>
      <c r="D148" s="152"/>
      <c r="E148" s="162"/>
      <c r="F148" s="162"/>
      <c r="G148" s="162"/>
      <c r="H148" s="162"/>
      <c r="I148" s="162"/>
      <c r="J148" s="162"/>
      <c r="K148" s="162"/>
      <c r="L148" s="161"/>
      <c r="M148" s="161"/>
      <c r="N148" s="157"/>
      <c r="O148" s="158"/>
    </row>
    <row r="149" spans="1:15" ht="37.5" hidden="1" customHeight="1">
      <c r="A149" s="165"/>
      <c r="B149" s="166"/>
      <c r="C149" s="150"/>
      <c r="D149" s="150"/>
      <c r="E149" s="164"/>
      <c r="F149" s="164"/>
      <c r="G149" s="164"/>
      <c r="H149" s="164"/>
      <c r="I149" s="164"/>
      <c r="J149" s="164"/>
      <c r="K149" s="164"/>
      <c r="L149" s="159"/>
      <c r="M149" s="159"/>
      <c r="N149" s="153"/>
      <c r="O149" s="154"/>
    </row>
    <row r="150" spans="1:15" ht="37.5" hidden="1" customHeight="1">
      <c r="A150" s="167"/>
      <c r="B150" s="163"/>
      <c r="C150" s="151"/>
      <c r="D150" s="151"/>
      <c r="E150" s="163"/>
      <c r="F150" s="163"/>
      <c r="G150" s="163"/>
      <c r="H150" s="163"/>
      <c r="I150" s="163"/>
      <c r="J150" s="163"/>
      <c r="K150" s="163"/>
      <c r="L150" s="160"/>
      <c r="M150" s="160"/>
      <c r="N150" s="155"/>
      <c r="O150" s="156"/>
    </row>
    <row r="151" spans="1:15" ht="37.5" hidden="1" customHeight="1">
      <c r="A151" s="168"/>
      <c r="B151" s="162"/>
      <c r="C151" s="152"/>
      <c r="D151" s="152"/>
      <c r="E151" s="162"/>
      <c r="F151" s="162"/>
      <c r="G151" s="162"/>
      <c r="H151" s="162"/>
      <c r="I151" s="162"/>
      <c r="J151" s="162"/>
      <c r="K151" s="162"/>
      <c r="L151" s="161"/>
      <c r="M151" s="161"/>
      <c r="N151" s="157"/>
      <c r="O151" s="158"/>
    </row>
    <row r="152" spans="1:15" ht="37.5" hidden="1" customHeight="1">
      <c r="A152" s="165"/>
      <c r="B152" s="166"/>
      <c r="C152" s="150"/>
      <c r="D152" s="150"/>
      <c r="E152" s="164"/>
      <c r="F152" s="164"/>
      <c r="G152" s="164"/>
      <c r="H152" s="164"/>
      <c r="I152" s="164"/>
      <c r="J152" s="164"/>
      <c r="K152" s="164"/>
      <c r="L152" s="159"/>
      <c r="M152" s="159"/>
      <c r="N152" s="153"/>
      <c r="O152" s="154"/>
    </row>
    <row r="153" spans="1:15" ht="37.5" hidden="1" customHeight="1">
      <c r="A153" s="167"/>
      <c r="B153" s="163"/>
      <c r="C153" s="151"/>
      <c r="D153" s="151"/>
      <c r="E153" s="163"/>
      <c r="F153" s="163"/>
      <c r="G153" s="163"/>
      <c r="H153" s="163"/>
      <c r="I153" s="163"/>
      <c r="J153" s="163"/>
      <c r="K153" s="163"/>
      <c r="L153" s="160"/>
      <c r="M153" s="160"/>
      <c r="N153" s="155"/>
      <c r="O153" s="156"/>
    </row>
    <row r="154" spans="1:15" ht="37.5" hidden="1" customHeight="1">
      <c r="A154" s="168"/>
      <c r="B154" s="162"/>
      <c r="C154" s="152"/>
      <c r="D154" s="152"/>
      <c r="E154" s="162"/>
      <c r="F154" s="162"/>
      <c r="G154" s="162"/>
      <c r="H154" s="162"/>
      <c r="I154" s="162"/>
      <c r="J154" s="162"/>
      <c r="K154" s="162"/>
      <c r="L154" s="161"/>
      <c r="M154" s="161"/>
      <c r="N154" s="157"/>
      <c r="O154" s="158"/>
    </row>
    <row r="155" spans="1:15" ht="37.5" hidden="1" customHeight="1">
      <c r="A155" s="165"/>
      <c r="B155" s="166"/>
      <c r="C155" s="150"/>
      <c r="D155" s="150"/>
      <c r="E155" s="164"/>
      <c r="F155" s="164"/>
      <c r="G155" s="164"/>
      <c r="H155" s="164"/>
      <c r="I155" s="164"/>
      <c r="J155" s="164"/>
      <c r="K155" s="164"/>
      <c r="L155" s="159"/>
      <c r="M155" s="159"/>
      <c r="N155" s="153"/>
      <c r="O155" s="154"/>
    </row>
    <row r="156" spans="1:15" ht="37.5" hidden="1" customHeight="1">
      <c r="A156" s="167"/>
      <c r="B156" s="163"/>
      <c r="C156" s="151"/>
      <c r="D156" s="151"/>
      <c r="E156" s="163"/>
      <c r="F156" s="163"/>
      <c r="G156" s="163"/>
      <c r="H156" s="163"/>
      <c r="I156" s="163"/>
      <c r="J156" s="163"/>
      <c r="K156" s="163"/>
      <c r="L156" s="160"/>
      <c r="M156" s="160"/>
      <c r="N156" s="155"/>
      <c r="O156" s="156"/>
    </row>
    <row r="157" spans="1:15" ht="37.5" hidden="1" customHeight="1">
      <c r="A157" s="168"/>
      <c r="B157" s="162"/>
      <c r="C157" s="152"/>
      <c r="D157" s="152"/>
      <c r="E157" s="162"/>
      <c r="F157" s="162"/>
      <c r="G157" s="162"/>
      <c r="H157" s="162"/>
      <c r="I157" s="162"/>
      <c r="J157" s="162"/>
      <c r="K157" s="162"/>
      <c r="L157" s="161"/>
      <c r="M157" s="161"/>
      <c r="N157" s="157"/>
      <c r="O157" s="158"/>
    </row>
    <row r="158" spans="1:15" ht="37.5" hidden="1" customHeight="1">
      <c r="A158" s="165"/>
      <c r="B158" s="166"/>
      <c r="C158" s="150"/>
      <c r="D158" s="150"/>
      <c r="E158" s="164"/>
      <c r="F158" s="164"/>
      <c r="G158" s="164"/>
      <c r="H158" s="164"/>
      <c r="I158" s="164"/>
      <c r="J158" s="164"/>
      <c r="K158" s="164"/>
      <c r="L158" s="159"/>
      <c r="M158" s="159"/>
      <c r="N158" s="153"/>
      <c r="O158" s="154"/>
    </row>
    <row r="159" spans="1:15" ht="37.5" hidden="1" customHeight="1">
      <c r="A159" s="167"/>
      <c r="B159" s="163"/>
      <c r="C159" s="151"/>
      <c r="D159" s="151"/>
      <c r="E159" s="163"/>
      <c r="F159" s="163"/>
      <c r="G159" s="163"/>
      <c r="H159" s="163"/>
      <c r="I159" s="163"/>
      <c r="J159" s="163"/>
      <c r="K159" s="163"/>
      <c r="L159" s="160"/>
      <c r="M159" s="160"/>
      <c r="N159" s="155"/>
      <c r="O159" s="156"/>
    </row>
    <row r="160" spans="1:15" ht="37.5" hidden="1" customHeight="1">
      <c r="A160" s="168"/>
      <c r="B160" s="162"/>
      <c r="C160" s="152"/>
      <c r="D160" s="152"/>
      <c r="E160" s="162"/>
      <c r="F160" s="162"/>
      <c r="G160" s="162"/>
      <c r="H160" s="162"/>
      <c r="I160" s="162"/>
      <c r="J160" s="162"/>
      <c r="K160" s="162"/>
      <c r="L160" s="161"/>
      <c r="M160" s="161"/>
      <c r="N160" s="157"/>
      <c r="O160" s="158"/>
    </row>
    <row r="161" spans="1:15" ht="37.5" hidden="1" customHeight="1">
      <c r="A161" s="165"/>
      <c r="B161" s="166"/>
      <c r="C161" s="150"/>
      <c r="D161" s="150"/>
      <c r="E161" s="164"/>
      <c r="F161" s="164"/>
      <c r="G161" s="164"/>
      <c r="H161" s="164"/>
      <c r="I161" s="164"/>
      <c r="J161" s="164"/>
      <c r="K161" s="164"/>
      <c r="L161" s="159"/>
      <c r="M161" s="159"/>
      <c r="N161" s="153"/>
      <c r="O161" s="154"/>
    </row>
    <row r="162" spans="1:15" ht="37.5" hidden="1" customHeight="1">
      <c r="A162" s="167"/>
      <c r="B162" s="163"/>
      <c r="C162" s="151"/>
      <c r="D162" s="151"/>
      <c r="E162" s="163"/>
      <c r="F162" s="163"/>
      <c r="G162" s="163"/>
      <c r="H162" s="163"/>
      <c r="I162" s="163"/>
      <c r="J162" s="163"/>
      <c r="K162" s="163"/>
      <c r="L162" s="160"/>
      <c r="M162" s="160"/>
      <c r="N162" s="155"/>
      <c r="O162" s="156"/>
    </row>
    <row r="163" spans="1:15" ht="37.5" hidden="1" customHeight="1">
      <c r="A163" s="168"/>
      <c r="B163" s="162"/>
      <c r="C163" s="152"/>
      <c r="D163" s="152"/>
      <c r="E163" s="162"/>
      <c r="F163" s="162"/>
      <c r="G163" s="162"/>
      <c r="H163" s="162"/>
      <c r="I163" s="162"/>
      <c r="J163" s="162"/>
      <c r="K163" s="162"/>
      <c r="L163" s="161"/>
      <c r="M163" s="161"/>
      <c r="N163" s="157"/>
      <c r="O163" s="158"/>
    </row>
    <row r="164" spans="1:15" ht="37.5" hidden="1" customHeight="1">
      <c r="A164" s="165"/>
      <c r="B164" s="166"/>
      <c r="C164" s="150"/>
      <c r="D164" s="150"/>
      <c r="E164" s="164"/>
      <c r="F164" s="164"/>
      <c r="G164" s="164"/>
      <c r="H164" s="164"/>
      <c r="I164" s="164"/>
      <c r="J164" s="164"/>
      <c r="K164" s="164"/>
      <c r="L164" s="159"/>
      <c r="M164" s="159"/>
      <c r="N164" s="153"/>
      <c r="O164" s="154"/>
    </row>
    <row r="165" spans="1:15" ht="37.5" hidden="1" customHeight="1">
      <c r="A165" s="167"/>
      <c r="B165" s="163"/>
      <c r="C165" s="151"/>
      <c r="D165" s="151"/>
      <c r="E165" s="163"/>
      <c r="F165" s="163"/>
      <c r="G165" s="163"/>
      <c r="H165" s="163"/>
      <c r="I165" s="163"/>
      <c r="J165" s="163"/>
      <c r="K165" s="163"/>
      <c r="L165" s="160"/>
      <c r="M165" s="160"/>
      <c r="N165" s="155"/>
      <c r="O165" s="156"/>
    </row>
    <row r="166" spans="1:15" ht="37.5" hidden="1" customHeight="1">
      <c r="A166" s="168"/>
      <c r="B166" s="162"/>
      <c r="C166" s="152"/>
      <c r="D166" s="152"/>
      <c r="E166" s="162"/>
      <c r="F166" s="162"/>
      <c r="G166" s="162"/>
      <c r="H166" s="162"/>
      <c r="I166" s="162"/>
      <c r="J166" s="162"/>
      <c r="K166" s="162"/>
      <c r="L166" s="161"/>
      <c r="M166" s="161"/>
      <c r="N166" s="157"/>
      <c r="O166" s="158"/>
    </row>
    <row r="167" spans="1:15" ht="37.5" hidden="1" customHeight="1">
      <c r="A167" s="165"/>
      <c r="B167" s="166"/>
      <c r="C167" s="150"/>
      <c r="D167" s="150"/>
      <c r="E167" s="164"/>
      <c r="F167" s="164"/>
      <c r="G167" s="164"/>
      <c r="H167" s="164"/>
      <c r="I167" s="164"/>
      <c r="J167" s="164"/>
      <c r="K167" s="164"/>
      <c r="L167" s="159"/>
      <c r="M167" s="159"/>
      <c r="N167" s="153"/>
      <c r="O167" s="154"/>
    </row>
    <row r="168" spans="1:15" ht="37.5" hidden="1" customHeight="1">
      <c r="A168" s="167"/>
      <c r="B168" s="163"/>
      <c r="C168" s="151"/>
      <c r="D168" s="151"/>
      <c r="E168" s="163"/>
      <c r="F168" s="163"/>
      <c r="G168" s="163"/>
      <c r="H168" s="163"/>
      <c r="I168" s="163"/>
      <c r="J168" s="163"/>
      <c r="K168" s="163"/>
      <c r="L168" s="160"/>
      <c r="M168" s="160"/>
      <c r="N168" s="155"/>
      <c r="O168" s="156"/>
    </row>
    <row r="169" spans="1:15" ht="37.5" hidden="1" customHeight="1">
      <c r="A169" s="168"/>
      <c r="B169" s="162"/>
      <c r="C169" s="152"/>
      <c r="D169" s="152"/>
      <c r="E169" s="162"/>
      <c r="F169" s="162"/>
      <c r="G169" s="162"/>
      <c r="H169" s="162"/>
      <c r="I169" s="162"/>
      <c r="J169" s="162"/>
      <c r="K169" s="162"/>
      <c r="L169" s="161"/>
      <c r="M169" s="161"/>
      <c r="N169" s="157"/>
      <c r="O169" s="158"/>
    </row>
    <row r="170" spans="1:15" ht="37.5" hidden="1" customHeight="1">
      <c r="A170" s="165"/>
      <c r="B170" s="166"/>
      <c r="C170" s="150"/>
      <c r="D170" s="150"/>
      <c r="E170" s="164"/>
      <c r="F170" s="164"/>
      <c r="G170" s="164"/>
      <c r="H170" s="164"/>
      <c r="I170" s="164"/>
      <c r="J170" s="164"/>
      <c r="K170" s="164"/>
      <c r="L170" s="159"/>
      <c r="M170" s="159"/>
      <c r="N170" s="153"/>
      <c r="O170" s="154"/>
    </row>
    <row r="171" spans="1:15" ht="37.5" hidden="1" customHeight="1">
      <c r="A171" s="167"/>
      <c r="B171" s="163"/>
      <c r="C171" s="151"/>
      <c r="D171" s="151"/>
      <c r="E171" s="163"/>
      <c r="F171" s="163"/>
      <c r="G171" s="163"/>
      <c r="H171" s="163"/>
      <c r="I171" s="163"/>
      <c r="J171" s="163"/>
      <c r="K171" s="163"/>
      <c r="L171" s="160"/>
      <c r="M171" s="160"/>
      <c r="N171" s="155"/>
      <c r="O171" s="156"/>
    </row>
    <row r="172" spans="1:15" ht="37.5" hidden="1" customHeight="1">
      <c r="A172" s="168"/>
      <c r="B172" s="162"/>
      <c r="C172" s="152"/>
      <c r="D172" s="152"/>
      <c r="E172" s="162"/>
      <c r="F172" s="162"/>
      <c r="G172" s="162"/>
      <c r="H172" s="162"/>
      <c r="I172" s="162"/>
      <c r="J172" s="162"/>
      <c r="K172" s="162"/>
      <c r="L172" s="161"/>
      <c r="M172" s="161"/>
      <c r="N172" s="157"/>
      <c r="O172" s="158"/>
    </row>
    <row r="173" spans="1:15" ht="37.5" hidden="1" customHeight="1">
      <c r="A173" s="165"/>
      <c r="B173" s="166"/>
      <c r="C173" s="150"/>
      <c r="D173" s="150"/>
      <c r="E173" s="164"/>
      <c r="F173" s="164"/>
      <c r="G173" s="164"/>
      <c r="H173" s="164"/>
      <c r="I173" s="164"/>
      <c r="J173" s="164"/>
      <c r="K173" s="164"/>
      <c r="L173" s="159"/>
      <c r="M173" s="159"/>
      <c r="N173" s="153"/>
      <c r="O173" s="154"/>
    </row>
    <row r="174" spans="1:15" ht="37.5" hidden="1" customHeight="1">
      <c r="A174" s="167"/>
      <c r="B174" s="163"/>
      <c r="C174" s="151"/>
      <c r="D174" s="151"/>
      <c r="E174" s="163"/>
      <c r="F174" s="163"/>
      <c r="G174" s="163"/>
      <c r="H174" s="163"/>
      <c r="I174" s="163"/>
      <c r="J174" s="163"/>
      <c r="K174" s="163"/>
      <c r="L174" s="160"/>
      <c r="M174" s="160"/>
      <c r="N174" s="155"/>
      <c r="O174" s="156"/>
    </row>
    <row r="175" spans="1:15" ht="37.5" hidden="1" customHeight="1">
      <c r="A175" s="168"/>
      <c r="B175" s="162"/>
      <c r="C175" s="152"/>
      <c r="D175" s="152"/>
      <c r="E175" s="162"/>
      <c r="F175" s="162"/>
      <c r="G175" s="162"/>
      <c r="H175" s="162"/>
      <c r="I175" s="162"/>
      <c r="J175" s="162"/>
      <c r="K175" s="162"/>
      <c r="L175" s="161"/>
      <c r="M175" s="161"/>
      <c r="N175" s="157"/>
      <c r="O175" s="158"/>
    </row>
    <row r="176" spans="1:15" ht="37.5" hidden="1" customHeight="1">
      <c r="A176" s="165"/>
      <c r="B176" s="166"/>
      <c r="C176" s="150"/>
      <c r="D176" s="150"/>
      <c r="E176" s="164"/>
      <c r="F176" s="164"/>
      <c r="G176" s="164"/>
      <c r="H176" s="164"/>
      <c r="I176" s="164"/>
      <c r="J176" s="164"/>
      <c r="K176" s="164"/>
      <c r="L176" s="159"/>
      <c r="M176" s="159"/>
      <c r="N176" s="153"/>
      <c r="O176" s="154"/>
    </row>
    <row r="177" spans="1:20" ht="37.5" hidden="1" customHeight="1">
      <c r="A177" s="167"/>
      <c r="B177" s="163"/>
      <c r="C177" s="151"/>
      <c r="D177" s="151"/>
      <c r="E177" s="163"/>
      <c r="F177" s="163"/>
      <c r="G177" s="163"/>
      <c r="H177" s="163"/>
      <c r="I177" s="163"/>
      <c r="J177" s="163"/>
      <c r="K177" s="163"/>
      <c r="L177" s="160"/>
      <c r="M177" s="160"/>
      <c r="N177" s="155"/>
      <c r="O177" s="156"/>
    </row>
    <row r="178" spans="1:20" ht="37.5" hidden="1" customHeight="1">
      <c r="A178" s="168"/>
      <c r="B178" s="162"/>
      <c r="C178" s="152"/>
      <c r="D178" s="152"/>
      <c r="E178" s="162"/>
      <c r="F178" s="162"/>
      <c r="G178" s="162"/>
      <c r="H178" s="162"/>
      <c r="I178" s="162"/>
      <c r="J178" s="162"/>
      <c r="K178" s="162"/>
      <c r="L178" s="161"/>
      <c r="M178" s="161"/>
      <c r="N178" s="157"/>
      <c r="O178" s="158"/>
    </row>
    <row r="179" spans="1:20" ht="21">
      <c r="A179" s="15"/>
      <c r="B179" s="15"/>
      <c r="C179" s="16"/>
      <c r="D179" s="16"/>
      <c r="E179" s="16"/>
      <c r="F179" s="16"/>
      <c r="G179" s="17"/>
      <c r="H179" s="18"/>
      <c r="I179" s="19"/>
      <c r="J179" s="18"/>
      <c r="K179" s="18"/>
      <c r="L179" s="18"/>
      <c r="M179" s="15"/>
      <c r="N179" s="15"/>
      <c r="O179" s="18"/>
    </row>
    <row r="180" spans="1:20" ht="26.25">
      <c r="A180" s="64"/>
      <c r="B180" s="64"/>
      <c r="C180" s="65"/>
      <c r="D180" s="66"/>
      <c r="E180" s="67"/>
      <c r="F180" s="66" t="s">
        <v>251</v>
      </c>
      <c r="G180" s="68" t="str">
        <f>IF(C29="","",SUM(C29:C176))</f>
        <v/>
      </c>
      <c r="H180" s="69"/>
      <c r="I180" s="70" t="str">
        <f>IF($G$25="","Total Wgt/Vol:",IF($G$25="IMPERIAL","Total LBS/CFT:","Total KG/CBM:"))</f>
        <v>Total Wgt/Vol:</v>
      </c>
      <c r="J180" s="71" t="str">
        <f>IF(L29="","",SUM(L29:L176))</f>
        <v/>
      </c>
      <c r="K180" s="64"/>
      <c r="L180" s="195" t="str">
        <f>IF(N29="","",SUM(N29:N176))</f>
        <v/>
      </c>
      <c r="M180" s="195"/>
      <c r="N180" s="64"/>
      <c r="O180" s="64"/>
    </row>
    <row r="181" spans="1:20" ht="23.25">
      <c r="A181" s="12"/>
      <c r="B181" s="12"/>
      <c r="C181" s="58"/>
      <c r="D181" s="59"/>
      <c r="E181" s="59"/>
      <c r="F181" s="58"/>
      <c r="G181" s="60"/>
      <c r="H181" s="61"/>
      <c r="I181" s="62"/>
      <c r="J181" s="63"/>
      <c r="K181" s="12"/>
      <c r="L181" s="12"/>
      <c r="M181" s="12"/>
      <c r="N181" s="12"/>
      <c r="O181" s="12"/>
    </row>
    <row r="182" spans="1:20" ht="23.25">
      <c r="C182" s="25"/>
      <c r="D182" s="25"/>
      <c r="E182" s="25"/>
      <c r="F182" s="20"/>
      <c r="G182" s="21"/>
      <c r="H182" s="22"/>
      <c r="I182" s="23"/>
      <c r="J182" s="24"/>
    </row>
    <row r="183" spans="1:20" ht="23.25">
      <c r="C183" s="25"/>
      <c r="D183" s="25"/>
      <c r="E183" s="25"/>
      <c r="F183" s="20"/>
      <c r="G183" s="21"/>
      <c r="H183" s="22"/>
      <c r="I183" s="23"/>
      <c r="J183" s="24"/>
    </row>
    <row r="184" spans="1:20" ht="23.25">
      <c r="A184" s="13"/>
      <c r="C184" s="25"/>
      <c r="D184" s="25"/>
      <c r="E184" s="25"/>
      <c r="F184" s="20"/>
      <c r="G184" s="21"/>
      <c r="H184" s="22"/>
      <c r="I184" s="23"/>
      <c r="J184" s="24"/>
    </row>
    <row r="185" spans="1:20" ht="23.25">
      <c r="A185" s="36"/>
      <c r="C185" s="25"/>
      <c r="D185" s="25"/>
      <c r="E185" s="25"/>
      <c r="F185" s="20"/>
      <c r="G185" s="21"/>
      <c r="H185" s="22"/>
      <c r="I185" s="23"/>
      <c r="J185" s="24"/>
    </row>
    <row r="186" spans="1:20" ht="23.25">
      <c r="A186" s="13"/>
      <c r="C186" s="25"/>
      <c r="D186" s="25"/>
      <c r="E186" s="25"/>
      <c r="F186" s="20"/>
      <c r="G186" s="21"/>
      <c r="H186" s="22"/>
      <c r="I186" s="23"/>
      <c r="J186" s="24"/>
    </row>
    <row r="187" spans="1:20" ht="23.25">
      <c r="A187" s="36"/>
      <c r="C187" s="25"/>
      <c r="D187" s="25"/>
      <c r="E187" s="25"/>
      <c r="F187" s="20"/>
      <c r="G187" s="21"/>
      <c r="H187" s="22"/>
      <c r="I187" s="23"/>
      <c r="J187" s="24"/>
      <c r="Q187" s="34" t="s">
        <v>243</v>
      </c>
      <c r="S187" s="34" t="s">
        <v>12</v>
      </c>
    </row>
    <row r="188" spans="1:20" ht="23.25">
      <c r="A188" s="13"/>
      <c r="C188" s="25"/>
      <c r="D188" s="25"/>
      <c r="E188" s="25"/>
      <c r="F188" s="20"/>
      <c r="G188" s="21"/>
      <c r="H188" s="22"/>
      <c r="I188" s="23"/>
      <c r="J188" s="24"/>
      <c r="Q188" s="27" t="s">
        <v>243</v>
      </c>
      <c r="R188" s="27" t="s">
        <v>242</v>
      </c>
      <c r="S188" s="37"/>
      <c r="T188" s="40"/>
    </row>
    <row r="189" spans="1:20" ht="121.5">
      <c r="C189" s="25"/>
      <c r="D189" s="25"/>
      <c r="E189" s="25"/>
      <c r="F189" s="20"/>
      <c r="G189" s="21"/>
      <c r="H189" s="22"/>
      <c r="I189" s="23"/>
      <c r="J189" s="24"/>
      <c r="Q189" s="27" t="s">
        <v>240</v>
      </c>
      <c r="R189" s="149" t="s">
        <v>314</v>
      </c>
      <c r="S189" s="38" t="s">
        <v>6</v>
      </c>
      <c r="T189" s="41" t="s">
        <v>3</v>
      </c>
    </row>
    <row r="190" spans="1:20" ht="121.5">
      <c r="C190" s="25"/>
      <c r="D190" s="25"/>
      <c r="E190" s="25"/>
      <c r="F190" s="20"/>
      <c r="G190" s="21"/>
      <c r="H190" s="22"/>
      <c r="I190" s="23"/>
      <c r="J190" s="24"/>
      <c r="Q190" s="27" t="s">
        <v>241</v>
      </c>
      <c r="R190" s="149" t="s">
        <v>315</v>
      </c>
      <c r="S190" s="39" t="s">
        <v>7</v>
      </c>
      <c r="T190" s="42" t="s">
        <v>2</v>
      </c>
    </row>
    <row r="191" spans="1:20" ht="120">
      <c r="Q191" s="27" t="s">
        <v>108</v>
      </c>
      <c r="R191" s="149" t="s">
        <v>316</v>
      </c>
      <c r="S191" s="29" t="s">
        <v>8</v>
      </c>
    </row>
    <row r="192" spans="1:20" ht="120">
      <c r="Q192" s="27" t="s">
        <v>38</v>
      </c>
      <c r="R192" s="149" t="s">
        <v>317</v>
      </c>
      <c r="S192" s="30" t="s">
        <v>9</v>
      </c>
    </row>
    <row r="193" spans="17:19" ht="120">
      <c r="Q193" s="27" t="s">
        <v>181</v>
      </c>
      <c r="R193" s="149" t="s">
        <v>318</v>
      </c>
      <c r="S193" s="29" t="s">
        <v>10</v>
      </c>
    </row>
    <row r="194" spans="17:19" ht="120">
      <c r="Q194" s="27" t="s">
        <v>72</v>
      </c>
      <c r="R194" s="149" t="s">
        <v>319</v>
      </c>
      <c r="S194" s="30" t="s">
        <v>11</v>
      </c>
    </row>
    <row r="195" spans="17:19" ht="120">
      <c r="Q195" s="27" t="s">
        <v>182</v>
      </c>
      <c r="R195" s="149" t="s">
        <v>320</v>
      </c>
      <c r="S195" s="29" t="s">
        <v>12</v>
      </c>
    </row>
    <row r="196" spans="17:19" ht="120">
      <c r="Q196" s="27" t="s">
        <v>183</v>
      </c>
      <c r="R196" s="149" t="s">
        <v>321</v>
      </c>
      <c r="S196" s="30" t="s">
        <v>13</v>
      </c>
    </row>
    <row r="197" spans="17:19" ht="120">
      <c r="Q197" s="27" t="s">
        <v>184</v>
      </c>
      <c r="R197" s="149" t="s">
        <v>322</v>
      </c>
      <c r="S197" s="29" t="s">
        <v>14</v>
      </c>
    </row>
    <row r="198" spans="17:19" ht="120">
      <c r="Q198" s="27" t="s">
        <v>185</v>
      </c>
      <c r="R198" s="149" t="s">
        <v>323</v>
      </c>
      <c r="S198" s="31" t="s">
        <v>15</v>
      </c>
    </row>
    <row r="199" spans="17:19" ht="120">
      <c r="Q199" s="27" t="s">
        <v>186</v>
      </c>
      <c r="R199" s="149" t="s">
        <v>324</v>
      </c>
      <c r="S199" s="26" t="s">
        <v>16</v>
      </c>
    </row>
    <row r="200" spans="17:19" ht="120">
      <c r="Q200" s="27" t="s">
        <v>39</v>
      </c>
      <c r="R200" s="149" t="s">
        <v>325</v>
      </c>
      <c r="S200" s="26" t="s">
        <v>17</v>
      </c>
    </row>
    <row r="201" spans="17:19" ht="120">
      <c r="Q201" s="27" t="s">
        <v>206</v>
      </c>
      <c r="R201" s="149" t="s">
        <v>326</v>
      </c>
      <c r="S201" s="26" t="s">
        <v>18</v>
      </c>
    </row>
    <row r="202" spans="17:19" ht="120">
      <c r="Q202" s="27" t="s">
        <v>207</v>
      </c>
      <c r="R202" s="149" t="s">
        <v>327</v>
      </c>
      <c r="S202" s="26" t="s">
        <v>19</v>
      </c>
    </row>
    <row r="203" spans="17:19" ht="120">
      <c r="Q203" s="27" t="s">
        <v>73</v>
      </c>
      <c r="R203" s="149" t="s">
        <v>328</v>
      </c>
      <c r="S203" s="26" t="s">
        <v>20</v>
      </c>
    </row>
    <row r="204" spans="17:19" ht="120">
      <c r="Q204" s="27" t="s">
        <v>110</v>
      </c>
      <c r="R204" s="149" t="s">
        <v>329</v>
      </c>
      <c r="S204" s="26"/>
    </row>
    <row r="205" spans="17:19" ht="120">
      <c r="Q205" s="27" t="s">
        <v>74</v>
      </c>
      <c r="R205" s="149" t="s">
        <v>330</v>
      </c>
      <c r="S205" s="26"/>
    </row>
    <row r="206" spans="17:19" ht="120">
      <c r="Q206" s="27" t="s">
        <v>75</v>
      </c>
      <c r="R206" s="149" t="s">
        <v>331</v>
      </c>
      <c r="S206" s="26"/>
    </row>
    <row r="207" spans="17:19" ht="120">
      <c r="Q207" s="27" t="s">
        <v>229</v>
      </c>
      <c r="R207" s="149" t="s">
        <v>332</v>
      </c>
      <c r="S207" s="26"/>
    </row>
    <row r="208" spans="17:19" ht="120">
      <c r="Q208" s="27" t="s">
        <v>109</v>
      </c>
      <c r="R208" s="149" t="s">
        <v>333</v>
      </c>
      <c r="S208" s="26"/>
    </row>
    <row r="209" spans="17:19" ht="120">
      <c r="Q209" s="27" t="s">
        <v>139</v>
      </c>
      <c r="R209" s="149" t="s">
        <v>334</v>
      </c>
      <c r="S209" s="26"/>
    </row>
    <row r="210" spans="17:19" ht="120">
      <c r="Q210" s="27" t="s">
        <v>40</v>
      </c>
      <c r="R210" s="149" t="s">
        <v>335</v>
      </c>
      <c r="S210" s="26"/>
    </row>
    <row r="211" spans="17:19" ht="120">
      <c r="Q211" s="27" t="s">
        <v>41</v>
      </c>
      <c r="R211" s="149" t="s">
        <v>336</v>
      </c>
      <c r="S211" s="26"/>
    </row>
    <row r="212" spans="17:19" ht="120">
      <c r="Q212" s="27" t="s">
        <v>42</v>
      </c>
      <c r="R212" s="149" t="s">
        <v>337</v>
      </c>
      <c r="S212" s="26"/>
    </row>
    <row r="213" spans="17:19" ht="120">
      <c r="Q213" s="27" t="s">
        <v>43</v>
      </c>
      <c r="R213" s="149" t="s">
        <v>338</v>
      </c>
      <c r="S213" s="26"/>
    </row>
    <row r="214" spans="17:19" ht="120">
      <c r="Q214" s="27" t="s">
        <v>44</v>
      </c>
      <c r="R214" s="149" t="s">
        <v>339</v>
      </c>
      <c r="S214" s="26"/>
    </row>
    <row r="215" spans="17:19" ht="120">
      <c r="Q215" s="27" t="s">
        <v>45</v>
      </c>
      <c r="R215" s="149" t="s">
        <v>340</v>
      </c>
      <c r="S215" s="26"/>
    </row>
    <row r="216" spans="17:19" ht="120">
      <c r="Q216" s="27" t="s">
        <v>22</v>
      </c>
      <c r="R216" s="149" t="s">
        <v>341</v>
      </c>
      <c r="S216" s="26"/>
    </row>
    <row r="217" spans="17:19" ht="120">
      <c r="Q217" s="27" t="s">
        <v>23</v>
      </c>
      <c r="R217" s="149" t="s">
        <v>342</v>
      </c>
      <c r="S217" s="26"/>
    </row>
    <row r="218" spans="17:19" ht="120">
      <c r="Q218" s="27" t="s">
        <v>24</v>
      </c>
      <c r="R218" s="149" t="s">
        <v>343</v>
      </c>
      <c r="S218" s="26"/>
    </row>
    <row r="219" spans="17:19" ht="120">
      <c r="Q219" s="27" t="s">
        <v>101</v>
      </c>
      <c r="R219" s="149" t="s">
        <v>344</v>
      </c>
      <c r="S219" s="26"/>
    </row>
    <row r="220" spans="17:19" ht="120">
      <c r="Q220" s="27" t="s">
        <v>118</v>
      </c>
      <c r="R220" s="149" t="s">
        <v>345</v>
      </c>
      <c r="S220" s="26"/>
    </row>
    <row r="221" spans="17:19" ht="120">
      <c r="Q221" s="27" t="s">
        <v>187</v>
      </c>
      <c r="R221" s="149" t="s">
        <v>346</v>
      </c>
      <c r="S221" s="26"/>
    </row>
    <row r="222" spans="17:19" ht="120">
      <c r="Q222" s="27" t="s">
        <v>46</v>
      </c>
      <c r="R222" s="149" t="s">
        <v>347</v>
      </c>
      <c r="S222" s="26"/>
    </row>
    <row r="223" spans="17:19" ht="120">
      <c r="Q223" s="27" t="s">
        <v>111</v>
      </c>
      <c r="R223" s="149" t="s">
        <v>348</v>
      </c>
      <c r="S223" s="26"/>
    </row>
    <row r="224" spans="17:19" ht="120">
      <c r="Q224" s="27" t="s">
        <v>141</v>
      </c>
      <c r="R224" s="149" t="s">
        <v>349</v>
      </c>
      <c r="S224" s="26"/>
    </row>
    <row r="225" spans="17:19" ht="120">
      <c r="Q225" s="27" t="s">
        <v>142</v>
      </c>
      <c r="R225" s="149" t="s">
        <v>350</v>
      </c>
      <c r="S225" s="26"/>
    </row>
    <row r="226" spans="17:19" ht="120">
      <c r="Q226" s="27" t="s">
        <v>143</v>
      </c>
      <c r="R226" s="149" t="s">
        <v>351</v>
      </c>
      <c r="S226" s="26"/>
    </row>
    <row r="227" spans="17:19" ht="120">
      <c r="Q227" s="27" t="s">
        <v>144</v>
      </c>
      <c r="R227" s="149" t="s">
        <v>352</v>
      </c>
      <c r="S227" s="26"/>
    </row>
    <row r="228" spans="17:19" ht="120">
      <c r="Q228" s="27" t="s">
        <v>145</v>
      </c>
      <c r="R228" s="149" t="s">
        <v>353</v>
      </c>
      <c r="S228" s="26"/>
    </row>
    <row r="229" spans="17:19" ht="120">
      <c r="Q229" s="27" t="s">
        <v>146</v>
      </c>
      <c r="R229" s="149" t="s">
        <v>354</v>
      </c>
      <c r="S229" s="26"/>
    </row>
    <row r="230" spans="17:19" ht="120">
      <c r="Q230" s="27" t="s">
        <v>147</v>
      </c>
      <c r="R230" s="149" t="s">
        <v>355</v>
      </c>
      <c r="S230" s="26"/>
    </row>
    <row r="231" spans="17:19" ht="120">
      <c r="Q231" s="27" t="s">
        <v>148</v>
      </c>
      <c r="R231" s="149" t="s">
        <v>356</v>
      </c>
      <c r="S231" s="26"/>
    </row>
    <row r="232" spans="17:19" ht="120">
      <c r="Q232" s="27" t="s">
        <v>149</v>
      </c>
      <c r="R232" s="149" t="s">
        <v>357</v>
      </c>
      <c r="S232" s="26"/>
    </row>
    <row r="233" spans="17:19" ht="120">
      <c r="Q233" s="27" t="s">
        <v>150</v>
      </c>
      <c r="R233" s="149" t="s">
        <v>358</v>
      </c>
      <c r="S233" s="26"/>
    </row>
    <row r="234" spans="17:19" ht="120">
      <c r="Q234" s="27" t="s">
        <v>151</v>
      </c>
      <c r="R234" s="149" t="s">
        <v>359</v>
      </c>
      <c r="S234" s="26"/>
    </row>
    <row r="235" spans="17:19" ht="120">
      <c r="Q235" s="27" t="s">
        <v>152</v>
      </c>
      <c r="R235" s="149" t="s">
        <v>360</v>
      </c>
      <c r="S235" s="26"/>
    </row>
    <row r="236" spans="17:19" ht="120">
      <c r="Q236" s="27" t="s">
        <v>153</v>
      </c>
      <c r="R236" s="149" t="s">
        <v>361</v>
      </c>
      <c r="S236" s="26"/>
    </row>
    <row r="237" spans="17:19" ht="120">
      <c r="Q237" s="27" t="s">
        <v>154</v>
      </c>
      <c r="R237" s="149" t="s">
        <v>362</v>
      </c>
      <c r="S237" s="26"/>
    </row>
    <row r="238" spans="17:19" ht="120">
      <c r="Q238" s="27" t="s">
        <v>155</v>
      </c>
      <c r="R238" s="149" t="s">
        <v>363</v>
      </c>
      <c r="S238" s="26"/>
    </row>
    <row r="239" spans="17:19" ht="120">
      <c r="Q239" s="27" t="s">
        <v>156</v>
      </c>
      <c r="R239" s="149" t="s">
        <v>364</v>
      </c>
      <c r="S239" s="26"/>
    </row>
    <row r="240" spans="17:19" ht="120">
      <c r="Q240" s="27" t="s">
        <v>47</v>
      </c>
      <c r="R240" s="149" t="s">
        <v>365</v>
      </c>
      <c r="S240" s="26"/>
    </row>
    <row r="241" spans="17:19" ht="120">
      <c r="Q241" s="27" t="s">
        <v>48</v>
      </c>
      <c r="R241" s="149" t="s">
        <v>366</v>
      </c>
      <c r="S241" s="26"/>
    </row>
    <row r="242" spans="17:19" ht="120">
      <c r="Q242" s="27" t="s">
        <v>49</v>
      </c>
      <c r="R242" s="149" t="s">
        <v>367</v>
      </c>
      <c r="S242" s="26"/>
    </row>
    <row r="243" spans="17:19" ht="120">
      <c r="Q243" s="27" t="s">
        <v>50</v>
      </c>
      <c r="R243" s="149" t="s">
        <v>368</v>
      </c>
      <c r="S243" s="26"/>
    </row>
    <row r="244" spans="17:19" ht="120">
      <c r="Q244" s="27" t="s">
        <v>51</v>
      </c>
      <c r="R244" s="149" t="s">
        <v>369</v>
      </c>
      <c r="S244" s="26"/>
    </row>
    <row r="245" spans="17:19" ht="120">
      <c r="Q245" s="27" t="s">
        <v>52</v>
      </c>
      <c r="R245" s="149" t="s">
        <v>370</v>
      </c>
      <c r="S245" s="26"/>
    </row>
    <row r="246" spans="17:19" ht="120">
      <c r="Q246" s="27" t="s">
        <v>76</v>
      </c>
      <c r="R246" s="149" t="s">
        <v>371</v>
      </c>
      <c r="S246" s="26"/>
    </row>
    <row r="247" spans="17:19" ht="120">
      <c r="Q247" s="27" t="s">
        <v>77</v>
      </c>
      <c r="R247" s="149" t="s">
        <v>372</v>
      </c>
      <c r="S247" s="26"/>
    </row>
    <row r="248" spans="17:19" ht="120">
      <c r="Q248" s="27" t="s">
        <v>82</v>
      </c>
      <c r="R248" s="149" t="s">
        <v>373</v>
      </c>
      <c r="S248" s="26"/>
    </row>
    <row r="249" spans="17:19" ht="120">
      <c r="Q249" s="27" t="s">
        <v>112</v>
      </c>
      <c r="R249" s="149" t="s">
        <v>374</v>
      </c>
      <c r="S249" s="26"/>
    </row>
    <row r="250" spans="17:19" ht="120">
      <c r="Q250" s="27" t="s">
        <v>78</v>
      </c>
      <c r="R250" s="149" t="s">
        <v>375</v>
      </c>
      <c r="S250" s="26"/>
    </row>
    <row r="251" spans="17:19" ht="120">
      <c r="Q251" s="27" t="s">
        <v>107</v>
      </c>
      <c r="R251" s="149" t="s">
        <v>376</v>
      </c>
      <c r="S251" s="26"/>
    </row>
    <row r="252" spans="17:19" ht="120">
      <c r="Q252" s="27" t="s">
        <v>53</v>
      </c>
      <c r="R252" s="149" t="s">
        <v>377</v>
      </c>
      <c r="S252" s="26"/>
    </row>
    <row r="253" spans="17:19" ht="120">
      <c r="Q253" s="27" t="s">
        <v>113</v>
      </c>
      <c r="R253" s="149" t="s">
        <v>378</v>
      </c>
      <c r="S253" s="26"/>
    </row>
    <row r="254" spans="17:19" ht="120">
      <c r="Q254" s="27" t="s">
        <v>114</v>
      </c>
      <c r="R254" s="149" t="s">
        <v>379</v>
      </c>
      <c r="S254" s="26"/>
    </row>
    <row r="255" spans="17:19" ht="120">
      <c r="Q255" s="27" t="s">
        <v>98</v>
      </c>
      <c r="R255" s="149" t="s">
        <v>380</v>
      </c>
      <c r="S255" s="26"/>
    </row>
    <row r="256" spans="17:19" ht="120">
      <c r="Q256" s="27" t="s">
        <v>99</v>
      </c>
      <c r="R256" s="149" t="s">
        <v>381</v>
      </c>
      <c r="S256" s="26"/>
    </row>
    <row r="257" spans="17:19" ht="120">
      <c r="Q257" s="27" t="s">
        <v>115</v>
      </c>
      <c r="R257" s="149" t="s">
        <v>382</v>
      </c>
      <c r="S257" s="26"/>
    </row>
    <row r="258" spans="17:19" ht="120">
      <c r="Q258" s="27" t="s">
        <v>79</v>
      </c>
      <c r="R258" s="149" t="s">
        <v>383</v>
      </c>
      <c r="S258" s="26"/>
    </row>
    <row r="259" spans="17:19" ht="120">
      <c r="Q259" s="27" t="s">
        <v>188</v>
      </c>
      <c r="R259" s="149" t="s">
        <v>384</v>
      </c>
      <c r="S259" s="26"/>
    </row>
    <row r="260" spans="17:19" ht="120">
      <c r="Q260" s="27" t="s">
        <v>189</v>
      </c>
      <c r="R260" s="149" t="s">
        <v>385</v>
      </c>
      <c r="S260" s="26"/>
    </row>
    <row r="261" spans="17:19" ht="120">
      <c r="Q261" s="27" t="s">
        <v>80</v>
      </c>
      <c r="R261" s="149" t="s">
        <v>386</v>
      </c>
      <c r="S261" s="26"/>
    </row>
    <row r="262" spans="17:19" ht="120">
      <c r="Q262" s="27" t="s">
        <v>81</v>
      </c>
      <c r="R262" s="149" t="s">
        <v>387</v>
      </c>
      <c r="S262" s="26"/>
    </row>
    <row r="263" spans="17:19" ht="120">
      <c r="Q263" s="27" t="s">
        <v>104</v>
      </c>
      <c r="R263" s="149" t="s">
        <v>388</v>
      </c>
      <c r="S263" s="26"/>
    </row>
    <row r="264" spans="17:19" ht="120">
      <c r="Q264" s="27" t="s">
        <v>105</v>
      </c>
      <c r="R264" s="149" t="s">
        <v>389</v>
      </c>
      <c r="S264" s="26"/>
    </row>
    <row r="265" spans="17:19" ht="120">
      <c r="Q265" s="27" t="s">
        <v>106</v>
      </c>
      <c r="R265" s="149" t="s">
        <v>390</v>
      </c>
      <c r="S265" s="26"/>
    </row>
    <row r="266" spans="17:19" ht="120">
      <c r="Q266" s="27" t="s">
        <v>116</v>
      </c>
      <c r="R266" s="149" t="s">
        <v>391</v>
      </c>
      <c r="S266" s="26"/>
    </row>
    <row r="267" spans="17:19" ht="120">
      <c r="Q267" s="27" t="s">
        <v>117</v>
      </c>
      <c r="R267" s="149" t="s">
        <v>392</v>
      </c>
      <c r="S267" s="26"/>
    </row>
    <row r="268" spans="17:19" ht="120">
      <c r="Q268" s="27" t="s">
        <v>83</v>
      </c>
      <c r="R268" s="149" t="s">
        <v>393</v>
      </c>
      <c r="S268" s="26"/>
    </row>
    <row r="269" spans="17:19" ht="120">
      <c r="Q269" s="27" t="s">
        <v>55</v>
      </c>
      <c r="R269" s="149" t="s">
        <v>394</v>
      </c>
      <c r="S269" s="26"/>
    </row>
    <row r="270" spans="17:19" ht="120">
      <c r="Q270" s="27" t="s">
        <v>56</v>
      </c>
      <c r="R270" s="149" t="s">
        <v>395</v>
      </c>
      <c r="S270" s="26"/>
    </row>
    <row r="271" spans="17:19" ht="120">
      <c r="Q271" s="27" t="s">
        <v>157</v>
      </c>
      <c r="R271" s="149" t="s">
        <v>396</v>
      </c>
      <c r="S271" s="26"/>
    </row>
    <row r="272" spans="17:19" ht="120">
      <c r="Q272" s="27" t="s">
        <v>57</v>
      </c>
      <c r="R272" s="149" t="s">
        <v>397</v>
      </c>
      <c r="S272" s="26"/>
    </row>
    <row r="273" spans="17:19" ht="120">
      <c r="Q273" s="27" t="s">
        <v>84</v>
      </c>
      <c r="R273" s="149" t="s">
        <v>398</v>
      </c>
      <c r="S273" s="26"/>
    </row>
    <row r="274" spans="17:19" ht="120">
      <c r="Q274" s="27" t="s">
        <v>158</v>
      </c>
      <c r="R274" s="149" t="s">
        <v>399</v>
      </c>
      <c r="S274" s="26"/>
    </row>
    <row r="275" spans="17:19" ht="120">
      <c r="Q275" s="27" t="s">
        <v>159</v>
      </c>
      <c r="R275" s="149" t="s">
        <v>400</v>
      </c>
      <c r="S275" s="26"/>
    </row>
    <row r="276" spans="17:19" ht="120">
      <c r="Q276" s="27" t="s">
        <v>160</v>
      </c>
      <c r="R276" s="149" t="s">
        <v>401</v>
      </c>
      <c r="S276" s="26"/>
    </row>
    <row r="277" spans="17:19" ht="120">
      <c r="Q277" s="27" t="s">
        <v>161</v>
      </c>
      <c r="R277" s="149" t="s">
        <v>402</v>
      </c>
      <c r="S277" s="26"/>
    </row>
    <row r="278" spans="17:19" ht="120">
      <c r="Q278" s="27" t="s">
        <v>162</v>
      </c>
      <c r="R278" s="149" t="s">
        <v>403</v>
      </c>
      <c r="S278" s="26"/>
    </row>
    <row r="279" spans="17:19" ht="120">
      <c r="Q279" s="27" t="s">
        <v>85</v>
      </c>
      <c r="R279" s="149" t="s">
        <v>404</v>
      </c>
      <c r="S279" s="26"/>
    </row>
    <row r="280" spans="17:19" ht="120">
      <c r="Q280" s="27" t="s">
        <v>230</v>
      </c>
      <c r="R280" s="149" t="s">
        <v>405</v>
      </c>
      <c r="S280" s="26"/>
    </row>
    <row r="281" spans="17:19" ht="120">
      <c r="Q281" s="27" t="s">
        <v>231</v>
      </c>
      <c r="R281" s="149" t="s">
        <v>406</v>
      </c>
      <c r="S281" s="26"/>
    </row>
    <row r="282" spans="17:19" ht="120">
      <c r="Q282" s="27" t="s">
        <v>208</v>
      </c>
      <c r="R282" s="149" t="s">
        <v>407</v>
      </c>
      <c r="S282" s="26"/>
    </row>
    <row r="283" spans="17:19" ht="120">
      <c r="Q283" s="27" t="s">
        <v>209</v>
      </c>
      <c r="R283" s="149" t="s">
        <v>408</v>
      </c>
      <c r="S283" s="26"/>
    </row>
    <row r="284" spans="17:19" ht="120">
      <c r="Q284" s="27" t="s">
        <v>210</v>
      </c>
      <c r="R284" s="149" t="s">
        <v>409</v>
      </c>
      <c r="S284" s="26"/>
    </row>
    <row r="285" spans="17:19" ht="120">
      <c r="Q285" s="27" t="s">
        <v>211</v>
      </c>
      <c r="R285" s="149" t="s">
        <v>410</v>
      </c>
      <c r="S285" s="26"/>
    </row>
    <row r="286" spans="17:19" ht="120">
      <c r="Q286" s="27" t="s">
        <v>212</v>
      </c>
      <c r="R286" s="149" t="s">
        <v>411</v>
      </c>
      <c r="S286" s="26"/>
    </row>
    <row r="287" spans="17:19" ht="120">
      <c r="Q287" s="27" t="s">
        <v>213</v>
      </c>
      <c r="R287" s="149" t="s">
        <v>412</v>
      </c>
      <c r="S287" s="26"/>
    </row>
    <row r="288" spans="17:19" ht="120">
      <c r="Q288" s="27" t="s">
        <v>214</v>
      </c>
      <c r="R288" s="149" t="s">
        <v>413</v>
      </c>
      <c r="S288" s="26"/>
    </row>
    <row r="289" spans="17:19" ht="120">
      <c r="Q289" s="27" t="s">
        <v>215</v>
      </c>
      <c r="R289" s="149" t="s">
        <v>414</v>
      </c>
      <c r="S289" s="26"/>
    </row>
    <row r="290" spans="17:19" ht="120">
      <c r="Q290" s="27" t="s">
        <v>216</v>
      </c>
      <c r="R290" s="149" t="s">
        <v>415</v>
      </c>
      <c r="S290" s="26"/>
    </row>
    <row r="291" spans="17:19" ht="120">
      <c r="Q291" s="27" t="s">
        <v>217</v>
      </c>
      <c r="R291" s="149" t="s">
        <v>416</v>
      </c>
      <c r="S291" s="26"/>
    </row>
    <row r="292" spans="17:19" ht="120">
      <c r="Q292" s="27" t="s">
        <v>218</v>
      </c>
      <c r="R292" s="149" t="s">
        <v>417</v>
      </c>
      <c r="S292" s="26"/>
    </row>
    <row r="293" spans="17:19" ht="120">
      <c r="Q293" s="27" t="s">
        <v>219</v>
      </c>
      <c r="R293" s="149" t="s">
        <v>418</v>
      </c>
      <c r="S293" s="26"/>
    </row>
    <row r="294" spans="17:19" ht="120">
      <c r="Q294" s="27" t="s">
        <v>220</v>
      </c>
      <c r="R294" s="149" t="s">
        <v>419</v>
      </c>
      <c r="S294" s="26"/>
    </row>
    <row r="295" spans="17:19" ht="120">
      <c r="Q295" s="27" t="s">
        <v>221</v>
      </c>
      <c r="R295" s="149" t="s">
        <v>420</v>
      </c>
      <c r="S295" s="26"/>
    </row>
    <row r="296" spans="17:19" ht="120">
      <c r="Q296" s="27" t="s">
        <v>222</v>
      </c>
      <c r="R296" s="149" t="s">
        <v>421</v>
      </c>
      <c r="S296" s="26"/>
    </row>
    <row r="297" spans="17:19" ht="120">
      <c r="Q297" s="27" t="s">
        <v>223</v>
      </c>
      <c r="R297" s="149" t="s">
        <v>422</v>
      </c>
      <c r="S297" s="26"/>
    </row>
    <row r="298" spans="17:19" ht="120">
      <c r="Q298" s="27" t="s">
        <v>224</v>
      </c>
      <c r="R298" s="149" t="s">
        <v>423</v>
      </c>
      <c r="S298" s="26"/>
    </row>
    <row r="299" spans="17:19" ht="120">
      <c r="Q299" s="27" t="s">
        <v>86</v>
      </c>
      <c r="R299" s="149" t="s">
        <v>424</v>
      </c>
      <c r="S299" s="26"/>
    </row>
    <row r="300" spans="17:19" ht="120">
      <c r="Q300" s="27" t="s">
        <v>58</v>
      </c>
      <c r="R300" s="149" t="s">
        <v>425</v>
      </c>
      <c r="S300" s="26"/>
    </row>
    <row r="301" spans="17:19" ht="120">
      <c r="Q301" s="27" t="s">
        <v>232</v>
      </c>
      <c r="R301" s="149" t="s">
        <v>426</v>
      </c>
      <c r="S301" s="26"/>
    </row>
    <row r="302" spans="17:19" ht="120">
      <c r="Q302" s="27" t="s">
        <v>163</v>
      </c>
      <c r="R302" s="149" t="s">
        <v>427</v>
      </c>
      <c r="S302" s="26"/>
    </row>
    <row r="303" spans="17:19" ht="120">
      <c r="Q303" s="27" t="s">
        <v>164</v>
      </c>
      <c r="R303" s="149" t="s">
        <v>428</v>
      </c>
      <c r="S303" s="26"/>
    </row>
    <row r="304" spans="17:19" ht="120">
      <c r="Q304" s="27" t="s">
        <v>119</v>
      </c>
      <c r="R304" s="149" t="s">
        <v>429</v>
      </c>
      <c r="S304" s="26"/>
    </row>
    <row r="305" spans="17:19" ht="120">
      <c r="Q305" s="27" t="s">
        <v>120</v>
      </c>
      <c r="R305" s="149" t="s">
        <v>430</v>
      </c>
      <c r="S305" s="26"/>
    </row>
    <row r="306" spans="17:19" ht="120">
      <c r="Q306" s="27" t="s">
        <v>140</v>
      </c>
      <c r="R306" s="149" t="s">
        <v>431</v>
      </c>
      <c r="S306" s="26"/>
    </row>
    <row r="307" spans="17:19" ht="120">
      <c r="Q307" s="27" t="s">
        <v>191</v>
      </c>
      <c r="R307" s="149" t="s">
        <v>432</v>
      </c>
      <c r="S307" s="26"/>
    </row>
    <row r="308" spans="17:19" ht="120">
      <c r="Q308" s="27" t="s">
        <v>165</v>
      </c>
      <c r="R308" s="149" t="s">
        <v>433</v>
      </c>
      <c r="S308" s="26"/>
    </row>
    <row r="309" spans="17:19" ht="120">
      <c r="Q309" s="27" t="s">
        <v>233</v>
      </c>
      <c r="R309" s="149" t="s">
        <v>434</v>
      </c>
      <c r="S309" s="26"/>
    </row>
    <row r="310" spans="17:19" ht="120">
      <c r="Q310" s="27" t="s">
        <v>234</v>
      </c>
      <c r="R310" s="149" t="s">
        <v>435</v>
      </c>
      <c r="S310" s="26"/>
    </row>
    <row r="311" spans="17:19" ht="120">
      <c r="Q311" s="27" t="s">
        <v>228</v>
      </c>
      <c r="R311" s="149" t="s">
        <v>436</v>
      </c>
      <c r="S311" s="26"/>
    </row>
    <row r="312" spans="17:19" ht="120">
      <c r="Q312" s="27" t="s">
        <v>87</v>
      </c>
      <c r="R312" s="149" t="s">
        <v>437</v>
      </c>
      <c r="S312" s="26"/>
    </row>
    <row r="313" spans="17:19" ht="120">
      <c r="Q313" s="27" t="s">
        <v>123</v>
      </c>
      <c r="R313" s="149" t="s">
        <v>438</v>
      </c>
      <c r="S313" s="26"/>
    </row>
    <row r="314" spans="17:19" ht="120">
      <c r="Q314" s="27" t="s">
        <v>121</v>
      </c>
      <c r="R314" s="149" t="s">
        <v>439</v>
      </c>
      <c r="S314" s="26"/>
    </row>
    <row r="315" spans="17:19" ht="120">
      <c r="Q315" s="27" t="s">
        <v>170</v>
      </c>
      <c r="R315" s="149" t="s">
        <v>440</v>
      </c>
      <c r="S315" s="26"/>
    </row>
    <row r="316" spans="17:19" ht="120">
      <c r="Q316" s="27" t="s">
        <v>88</v>
      </c>
      <c r="R316" s="149" t="s">
        <v>441</v>
      </c>
      <c r="S316" s="26"/>
    </row>
    <row r="317" spans="17:19" ht="120">
      <c r="Q317" s="27" t="s">
        <v>122</v>
      </c>
      <c r="R317" s="149" t="s">
        <v>442</v>
      </c>
      <c r="S317" s="26"/>
    </row>
    <row r="318" spans="17:19" ht="120">
      <c r="Q318" s="27" t="s">
        <v>59</v>
      </c>
      <c r="R318" s="149" t="s">
        <v>443</v>
      </c>
      <c r="S318" s="26"/>
    </row>
    <row r="319" spans="17:19" ht="120">
      <c r="Q319" s="27" t="s">
        <v>60</v>
      </c>
      <c r="R319" s="149" t="s">
        <v>444</v>
      </c>
      <c r="S319" s="26"/>
    </row>
    <row r="320" spans="17:19" ht="120">
      <c r="Q320" s="27" t="s">
        <v>61</v>
      </c>
      <c r="R320" s="149" t="s">
        <v>445</v>
      </c>
      <c r="S320" s="26"/>
    </row>
    <row r="321" spans="17:19" ht="120">
      <c r="Q321" s="27" t="s">
        <v>62</v>
      </c>
      <c r="R321" s="149" t="s">
        <v>446</v>
      </c>
      <c r="S321" s="26"/>
    </row>
    <row r="322" spans="17:19" ht="120">
      <c r="Q322" s="27" t="s">
        <v>63</v>
      </c>
      <c r="R322" s="149" t="s">
        <v>447</v>
      </c>
      <c r="S322" s="26"/>
    </row>
    <row r="323" spans="17:19" ht="120">
      <c r="Q323" s="27" t="s">
        <v>166</v>
      </c>
      <c r="R323" s="149" t="s">
        <v>448</v>
      </c>
      <c r="S323" s="26"/>
    </row>
    <row r="324" spans="17:19" ht="120">
      <c r="Q324" s="27" t="s">
        <v>167</v>
      </c>
      <c r="R324" s="149" t="s">
        <v>449</v>
      </c>
      <c r="S324" s="26"/>
    </row>
    <row r="325" spans="17:19" ht="120">
      <c r="Q325" s="27" t="s">
        <v>168</v>
      </c>
      <c r="R325" s="149" t="s">
        <v>450</v>
      </c>
      <c r="S325" s="26"/>
    </row>
    <row r="326" spans="17:19" ht="120">
      <c r="Q326" s="27" t="s">
        <v>169</v>
      </c>
      <c r="R326" s="149" t="s">
        <v>451</v>
      </c>
      <c r="S326" s="26"/>
    </row>
    <row r="327" spans="17:19" ht="120">
      <c r="Q327" s="27" t="s">
        <v>124</v>
      </c>
      <c r="R327" s="149" t="s">
        <v>452</v>
      </c>
      <c r="S327" s="26"/>
    </row>
    <row r="328" spans="17:19" ht="120">
      <c r="Q328" s="27" t="s">
        <v>192</v>
      </c>
      <c r="R328" s="149" t="s">
        <v>453</v>
      </c>
      <c r="S328" s="26"/>
    </row>
    <row r="329" spans="17:19" ht="120">
      <c r="Q329" s="27" t="s">
        <v>125</v>
      </c>
      <c r="R329" s="149" t="s">
        <v>454</v>
      </c>
      <c r="S329" s="26"/>
    </row>
    <row r="330" spans="17:19" ht="120">
      <c r="Q330" s="27" t="s">
        <v>64</v>
      </c>
      <c r="R330" s="149" t="s">
        <v>455</v>
      </c>
      <c r="S330" s="26"/>
    </row>
    <row r="331" spans="17:19" ht="120">
      <c r="Q331" s="27" t="s">
        <v>89</v>
      </c>
      <c r="R331" s="149" t="s">
        <v>456</v>
      </c>
      <c r="S331" s="26"/>
    </row>
    <row r="332" spans="17:19" ht="120">
      <c r="Q332" s="27" t="s">
        <v>90</v>
      </c>
      <c r="R332" s="149" t="s">
        <v>457</v>
      </c>
      <c r="S332" s="26"/>
    </row>
    <row r="333" spans="17:19" ht="120">
      <c r="Q333" s="27" t="s">
        <v>225</v>
      </c>
      <c r="R333" s="149" t="s">
        <v>458</v>
      </c>
      <c r="S333" s="26"/>
    </row>
    <row r="334" spans="17:19" ht="120">
      <c r="Q334" s="27" t="s">
        <v>193</v>
      </c>
      <c r="R334" s="149" t="s">
        <v>459</v>
      </c>
      <c r="S334" s="26"/>
    </row>
    <row r="335" spans="17:19" ht="120">
      <c r="Q335" s="27" t="s">
        <v>194</v>
      </c>
      <c r="R335" s="149" t="s">
        <v>460</v>
      </c>
      <c r="S335" s="26"/>
    </row>
    <row r="336" spans="17:19" ht="120">
      <c r="Q336" s="27" t="s">
        <v>195</v>
      </c>
      <c r="R336" s="149" t="s">
        <v>461</v>
      </c>
      <c r="S336" s="26"/>
    </row>
    <row r="337" spans="17:19" ht="120">
      <c r="Q337" s="27" t="s">
        <v>235</v>
      </c>
      <c r="R337" s="149" t="s">
        <v>462</v>
      </c>
      <c r="S337" s="26"/>
    </row>
    <row r="338" spans="17:19" ht="120">
      <c r="Q338" s="27" t="s">
        <v>65</v>
      </c>
      <c r="R338" s="149" t="s">
        <v>463</v>
      </c>
      <c r="S338" s="26"/>
    </row>
    <row r="339" spans="17:19" ht="120">
      <c r="Q339" s="27" t="s">
        <v>66</v>
      </c>
      <c r="R339" s="149" t="s">
        <v>464</v>
      </c>
      <c r="S339" s="26"/>
    </row>
    <row r="340" spans="17:19" ht="120">
      <c r="Q340" s="27" t="s">
        <v>68</v>
      </c>
      <c r="R340" s="149" t="s">
        <v>465</v>
      </c>
      <c r="S340" s="26"/>
    </row>
    <row r="341" spans="17:19" ht="120">
      <c r="Q341" s="27" t="s">
        <v>190</v>
      </c>
      <c r="R341" s="149" t="s">
        <v>466</v>
      </c>
      <c r="S341" s="26"/>
    </row>
    <row r="342" spans="17:19" ht="120">
      <c r="Q342" s="27" t="s">
        <v>196</v>
      </c>
      <c r="R342" s="149" t="s">
        <v>467</v>
      </c>
      <c r="S342" s="26"/>
    </row>
    <row r="343" spans="17:19" ht="120">
      <c r="Q343" s="27" t="s">
        <v>197</v>
      </c>
      <c r="R343" s="149" t="s">
        <v>468</v>
      </c>
      <c r="S343" s="26"/>
    </row>
    <row r="344" spans="17:19" ht="120">
      <c r="Q344" s="27" t="s">
        <v>198</v>
      </c>
      <c r="R344" s="149" t="s">
        <v>469</v>
      </c>
      <c r="S344" s="26"/>
    </row>
    <row r="345" spans="17:19" ht="120">
      <c r="Q345" s="27" t="s">
        <v>199</v>
      </c>
      <c r="R345" s="149" t="s">
        <v>470</v>
      </c>
      <c r="S345" s="26"/>
    </row>
    <row r="346" spans="17:19" ht="120">
      <c r="Q346" s="27" t="s">
        <v>200</v>
      </c>
      <c r="R346" s="149" t="s">
        <v>471</v>
      </c>
      <c r="S346" s="26"/>
    </row>
    <row r="347" spans="17:19" ht="120">
      <c r="Q347" s="27" t="s">
        <v>201</v>
      </c>
      <c r="R347" s="149" t="s">
        <v>472</v>
      </c>
      <c r="S347" s="26"/>
    </row>
    <row r="348" spans="17:19" ht="120">
      <c r="Q348" s="27" t="s">
        <v>171</v>
      </c>
      <c r="R348" s="149" t="s">
        <v>473</v>
      </c>
      <c r="S348" s="26"/>
    </row>
    <row r="349" spans="17:19" ht="120">
      <c r="Q349" s="27" t="s">
        <v>172</v>
      </c>
      <c r="R349" s="149" t="s">
        <v>474</v>
      </c>
      <c r="S349" s="26"/>
    </row>
    <row r="350" spans="17:19" ht="120">
      <c r="Q350" s="27" t="s">
        <v>226</v>
      </c>
      <c r="R350" s="149" t="s">
        <v>475</v>
      </c>
      <c r="S350" s="26"/>
    </row>
    <row r="351" spans="17:19" ht="120">
      <c r="Q351" s="27" t="s">
        <v>227</v>
      </c>
      <c r="R351" s="149" t="s">
        <v>476</v>
      </c>
      <c r="S351" s="26"/>
    </row>
    <row r="352" spans="17:19" ht="120">
      <c r="Q352" s="27" t="s">
        <v>91</v>
      </c>
      <c r="R352" s="149" t="s">
        <v>477</v>
      </c>
      <c r="S352" s="26"/>
    </row>
    <row r="353" spans="17:19" ht="120">
      <c r="Q353" s="27" t="s">
        <v>92</v>
      </c>
      <c r="R353" s="149" t="s">
        <v>478</v>
      </c>
      <c r="S353" s="26"/>
    </row>
    <row r="354" spans="17:19" ht="120">
      <c r="Q354" s="27" t="s">
        <v>93</v>
      </c>
      <c r="R354" s="149" t="s">
        <v>479</v>
      </c>
      <c r="S354" s="26"/>
    </row>
    <row r="355" spans="17:19" ht="120">
      <c r="Q355" s="27" t="s">
        <v>67</v>
      </c>
      <c r="R355" s="149" t="s">
        <v>480</v>
      </c>
      <c r="S355" s="26"/>
    </row>
    <row r="356" spans="17:19" ht="120">
      <c r="Q356" s="27" t="s">
        <v>236</v>
      </c>
      <c r="R356" s="149" t="s">
        <v>481</v>
      </c>
      <c r="S356" s="26"/>
    </row>
    <row r="357" spans="17:19" ht="120">
      <c r="Q357" s="27" t="s">
        <v>126</v>
      </c>
      <c r="R357" s="149" t="s">
        <v>482</v>
      </c>
      <c r="S357" s="26"/>
    </row>
    <row r="358" spans="17:19" ht="120">
      <c r="Q358" s="27" t="s">
        <v>94</v>
      </c>
      <c r="R358" s="149" t="s">
        <v>483</v>
      </c>
      <c r="S358" s="26"/>
    </row>
    <row r="359" spans="17:19" ht="120">
      <c r="Q359" s="27" t="s">
        <v>95</v>
      </c>
      <c r="R359" s="149" t="s">
        <v>484</v>
      </c>
      <c r="S359" s="26"/>
    </row>
    <row r="360" spans="17:19" ht="120">
      <c r="Q360" s="27" t="s">
        <v>237</v>
      </c>
      <c r="R360" s="149" t="s">
        <v>485</v>
      </c>
      <c r="S360" s="26"/>
    </row>
    <row r="361" spans="17:19" ht="120">
      <c r="Q361" s="27" t="s">
        <v>238</v>
      </c>
      <c r="R361" s="149" t="s">
        <v>486</v>
      </c>
      <c r="S361" s="26"/>
    </row>
    <row r="362" spans="17:19" ht="120">
      <c r="Q362" s="27" t="s">
        <v>239</v>
      </c>
      <c r="R362" s="149" t="s">
        <v>487</v>
      </c>
      <c r="S362" s="26"/>
    </row>
    <row r="363" spans="17:19" ht="120">
      <c r="Q363" s="27" t="s">
        <v>203</v>
      </c>
      <c r="R363" s="149" t="s">
        <v>488</v>
      </c>
      <c r="S363" s="26"/>
    </row>
    <row r="364" spans="17:19" ht="120">
      <c r="Q364" s="27" t="s">
        <v>133</v>
      </c>
      <c r="R364" s="149" t="s">
        <v>489</v>
      </c>
      <c r="S364" s="26"/>
    </row>
    <row r="365" spans="17:19" ht="120">
      <c r="Q365" s="27" t="s">
        <v>100</v>
      </c>
      <c r="R365" s="149" t="s">
        <v>490</v>
      </c>
      <c r="S365" s="26"/>
    </row>
    <row r="366" spans="17:19" ht="120">
      <c r="Q366" s="27" t="s">
        <v>173</v>
      </c>
      <c r="R366" s="149" t="s">
        <v>491</v>
      </c>
      <c r="S366" s="26"/>
    </row>
    <row r="367" spans="17:19" ht="120">
      <c r="Q367" s="27" t="s">
        <v>97</v>
      </c>
      <c r="R367" s="149" t="s">
        <v>492</v>
      </c>
      <c r="S367" s="26"/>
    </row>
    <row r="368" spans="17:19" ht="120">
      <c r="Q368" s="27" t="s">
        <v>96</v>
      </c>
      <c r="R368" s="149" t="s">
        <v>493</v>
      </c>
      <c r="S368" s="26"/>
    </row>
    <row r="369" spans="17:19" ht="120">
      <c r="Q369" s="27" t="s">
        <v>128</v>
      </c>
      <c r="R369" s="149" t="s">
        <v>494</v>
      </c>
      <c r="S369" s="26"/>
    </row>
    <row r="370" spans="17:19" ht="120">
      <c r="Q370" s="27" t="s">
        <v>127</v>
      </c>
      <c r="R370" s="149" t="s">
        <v>495</v>
      </c>
      <c r="S370" s="26"/>
    </row>
    <row r="371" spans="17:19" ht="120">
      <c r="Q371" s="27" t="s">
        <v>54</v>
      </c>
      <c r="R371" s="149" t="s">
        <v>496</v>
      </c>
      <c r="S371" s="26"/>
    </row>
    <row r="372" spans="17:19" ht="120">
      <c r="Q372" s="27" t="s">
        <v>135</v>
      </c>
      <c r="R372" s="149" t="s">
        <v>497</v>
      </c>
      <c r="S372" s="26"/>
    </row>
    <row r="373" spans="17:19" ht="120">
      <c r="Q373" s="27" t="s">
        <v>177</v>
      </c>
      <c r="R373" s="149" t="s">
        <v>498</v>
      </c>
      <c r="S373" s="26"/>
    </row>
    <row r="374" spans="17:19" ht="120">
      <c r="Q374" s="27" t="s">
        <v>136</v>
      </c>
      <c r="R374" s="149" t="s">
        <v>499</v>
      </c>
      <c r="S374" s="26"/>
    </row>
    <row r="375" spans="17:19" ht="120">
      <c r="Q375" s="27" t="s">
        <v>204</v>
      </c>
      <c r="R375" s="149" t="s">
        <v>500</v>
      </c>
      <c r="S375" s="26"/>
    </row>
    <row r="376" spans="17:19" ht="120">
      <c r="Q376" s="27" t="s">
        <v>102</v>
      </c>
      <c r="R376" s="149" t="s">
        <v>501</v>
      </c>
      <c r="S376" s="26"/>
    </row>
    <row r="377" spans="17:19" ht="120">
      <c r="Q377" s="27" t="s">
        <v>103</v>
      </c>
      <c r="R377" s="149" t="s">
        <v>502</v>
      </c>
      <c r="S377" s="26"/>
    </row>
    <row r="378" spans="17:19" ht="120">
      <c r="Q378" s="27" t="s">
        <v>69</v>
      </c>
      <c r="R378" s="149" t="s">
        <v>503</v>
      </c>
      <c r="S378" s="26"/>
    </row>
    <row r="379" spans="17:19" ht="120">
      <c r="Q379" s="27" t="s">
        <v>174</v>
      </c>
      <c r="R379" s="149" t="s">
        <v>504</v>
      </c>
      <c r="S379" s="26"/>
    </row>
    <row r="380" spans="17:19" ht="120">
      <c r="Q380" s="27" t="s">
        <v>175</v>
      </c>
      <c r="R380" s="149" t="s">
        <v>505</v>
      </c>
      <c r="S380" s="26"/>
    </row>
    <row r="381" spans="17:19" ht="120">
      <c r="Q381" s="27" t="s">
        <v>176</v>
      </c>
      <c r="R381" s="149" t="s">
        <v>506</v>
      </c>
      <c r="S381" s="26"/>
    </row>
    <row r="382" spans="17:19" ht="120">
      <c r="Q382" s="27" t="s">
        <v>134</v>
      </c>
      <c r="R382" s="149" t="s">
        <v>507</v>
      </c>
      <c r="S382" s="26"/>
    </row>
    <row r="383" spans="17:19" ht="120">
      <c r="Q383" s="27" t="s">
        <v>137</v>
      </c>
      <c r="R383" s="149" t="s">
        <v>508</v>
      </c>
      <c r="S383" s="26"/>
    </row>
    <row r="384" spans="17:19" ht="120">
      <c r="Q384" s="27" t="s">
        <v>25</v>
      </c>
      <c r="R384" s="149" t="s">
        <v>509</v>
      </c>
      <c r="S384" s="26"/>
    </row>
    <row r="385" spans="17:19" ht="120">
      <c r="Q385" s="27" t="s">
        <v>26</v>
      </c>
      <c r="R385" s="149" t="s">
        <v>510</v>
      </c>
      <c r="S385" s="26"/>
    </row>
    <row r="386" spans="17:19" ht="120">
      <c r="Q386" s="27" t="s">
        <v>35</v>
      </c>
      <c r="R386" s="149" t="s">
        <v>511</v>
      </c>
      <c r="S386" s="26"/>
    </row>
    <row r="387" spans="17:19" ht="120">
      <c r="Q387" s="27" t="s">
        <v>27</v>
      </c>
      <c r="R387" s="149" t="s">
        <v>512</v>
      </c>
      <c r="S387" s="26"/>
    </row>
    <row r="388" spans="17:19" ht="120">
      <c r="Q388" s="27" t="s">
        <v>28</v>
      </c>
      <c r="R388" s="149" t="s">
        <v>513</v>
      </c>
      <c r="S388" s="26"/>
    </row>
    <row r="389" spans="17:19" ht="120">
      <c r="Q389" s="27" t="s">
        <v>29</v>
      </c>
      <c r="R389" s="149" t="s">
        <v>514</v>
      </c>
      <c r="S389" s="26"/>
    </row>
    <row r="390" spans="17:19" ht="120">
      <c r="Q390" s="27" t="s">
        <v>31</v>
      </c>
      <c r="R390" s="149" t="s">
        <v>515</v>
      </c>
      <c r="S390" s="26"/>
    </row>
    <row r="391" spans="17:19" ht="120">
      <c r="Q391" s="27" t="s">
        <v>30</v>
      </c>
      <c r="R391" s="149" t="s">
        <v>516</v>
      </c>
      <c r="S391" s="26"/>
    </row>
    <row r="392" spans="17:19" ht="120">
      <c r="Q392" s="27" t="s">
        <v>32</v>
      </c>
      <c r="R392" s="149" t="s">
        <v>517</v>
      </c>
      <c r="S392" s="26"/>
    </row>
    <row r="393" spans="17:19" ht="120">
      <c r="Q393" s="27" t="s">
        <v>33</v>
      </c>
      <c r="R393" s="149" t="s">
        <v>518</v>
      </c>
      <c r="S393" s="26"/>
    </row>
    <row r="394" spans="17:19" ht="120">
      <c r="Q394" s="27" t="s">
        <v>34</v>
      </c>
      <c r="R394" s="149" t="s">
        <v>519</v>
      </c>
      <c r="S394" s="26"/>
    </row>
    <row r="395" spans="17:19" ht="120">
      <c r="Q395" s="27" t="s">
        <v>36</v>
      </c>
      <c r="R395" s="149" t="s">
        <v>520</v>
      </c>
      <c r="S395" s="26"/>
    </row>
    <row r="396" spans="17:19" ht="120">
      <c r="Q396" s="27" t="s">
        <v>37</v>
      </c>
      <c r="R396" s="149" t="s">
        <v>521</v>
      </c>
      <c r="S396" s="26"/>
    </row>
    <row r="397" spans="17:19" ht="120">
      <c r="Q397" s="27" t="s">
        <v>70</v>
      </c>
      <c r="R397" s="149" t="s">
        <v>522</v>
      </c>
      <c r="S397" s="26"/>
    </row>
    <row r="398" spans="17:19" ht="120">
      <c r="Q398" s="27" t="s">
        <v>71</v>
      </c>
      <c r="R398" s="149" t="s">
        <v>523</v>
      </c>
      <c r="S398" s="26"/>
    </row>
    <row r="399" spans="17:19" ht="120">
      <c r="Q399" s="27" t="s">
        <v>178</v>
      </c>
      <c r="R399" s="149" t="s">
        <v>524</v>
      </c>
      <c r="S399" s="26"/>
    </row>
    <row r="400" spans="17:19" ht="120">
      <c r="Q400" s="27" t="s">
        <v>179</v>
      </c>
      <c r="R400" s="149" t="s">
        <v>525</v>
      </c>
      <c r="S400" s="26"/>
    </row>
    <row r="401" spans="17:19" ht="120">
      <c r="Q401" s="27" t="s">
        <v>180</v>
      </c>
      <c r="R401" s="149" t="s">
        <v>526</v>
      </c>
      <c r="S401" s="26"/>
    </row>
    <row r="402" spans="17:19" ht="120">
      <c r="Q402" s="27" t="s">
        <v>205</v>
      </c>
      <c r="R402" s="149" t="s">
        <v>527</v>
      </c>
      <c r="S402" s="26"/>
    </row>
    <row r="403" spans="17:19" ht="120">
      <c r="Q403" s="27" t="s">
        <v>202</v>
      </c>
      <c r="R403" s="149" t="s">
        <v>528</v>
      </c>
      <c r="S403" s="26"/>
    </row>
    <row r="404" spans="17:19" ht="120">
      <c r="Q404" s="27" t="s">
        <v>129</v>
      </c>
      <c r="R404" s="149" t="s">
        <v>529</v>
      </c>
      <c r="S404" s="26"/>
    </row>
    <row r="405" spans="17:19" ht="120">
      <c r="Q405" s="27" t="s">
        <v>130</v>
      </c>
      <c r="R405" s="149" t="s">
        <v>530</v>
      </c>
      <c r="S405" s="26"/>
    </row>
    <row r="406" spans="17:19" ht="120">
      <c r="Q406" s="27" t="s">
        <v>131</v>
      </c>
      <c r="R406" s="149" t="s">
        <v>531</v>
      </c>
      <c r="S406" s="26"/>
    </row>
    <row r="407" spans="17:19" ht="120">
      <c r="Q407" s="27" t="s">
        <v>132</v>
      </c>
      <c r="R407" s="149" t="s">
        <v>532</v>
      </c>
      <c r="S407" s="26"/>
    </row>
    <row r="408" spans="17:19" ht="120">
      <c r="Q408" s="27" t="s">
        <v>138</v>
      </c>
      <c r="R408" s="149" t="s">
        <v>533</v>
      </c>
      <c r="S408" s="26"/>
    </row>
  </sheetData>
  <sheetProtection algorithmName="SHA-512" hashValue="WQECprDeEwicjynCMn3x1SBQti0Od9Ih3IN9A7NAWZktzPnBS1LwMddmXfhYkXzoso+4tiVU8AoE44hmkhsj2Q==" saltValue="hHhTEkYzUFDeIN+o5Pp2bQ==" spinCount="100000" sheet="1" scenarios="1"/>
  <sortState ref="Q182:R401">
    <sortCondition ref="Q3:Q222"/>
  </sortState>
  <mergeCells count="483">
    <mergeCell ref="L180:M180"/>
    <mergeCell ref="D3:F5"/>
    <mergeCell ref="D161:D163"/>
    <mergeCell ref="C161:C163"/>
    <mergeCell ref="D158:D160"/>
    <mergeCell ref="C158:C160"/>
    <mergeCell ref="D155:D157"/>
    <mergeCell ref="C155:C157"/>
    <mergeCell ref="D152:D154"/>
    <mergeCell ref="C152:C154"/>
    <mergeCell ref="B19:E23"/>
    <mergeCell ref="H23:M23"/>
    <mergeCell ref="H22:M22"/>
    <mergeCell ref="H21:M21"/>
    <mergeCell ref="H20:M20"/>
    <mergeCell ref="H19:M19"/>
    <mergeCell ref="J11:M11"/>
    <mergeCell ref="J9:M9"/>
    <mergeCell ref="J13:M13"/>
    <mergeCell ref="A126:B127"/>
    <mergeCell ref="A128:B128"/>
    <mergeCell ref="A129:B130"/>
    <mergeCell ref="A131:B131"/>
    <mergeCell ref="A132:B133"/>
    <mergeCell ref="A134:B134"/>
    <mergeCell ref="A135:B136"/>
    <mergeCell ref="A137:B137"/>
    <mergeCell ref="A138:B139"/>
    <mergeCell ref="A99:B100"/>
    <mergeCell ref="A101:B101"/>
    <mergeCell ref="A102:B103"/>
    <mergeCell ref="A117:B118"/>
    <mergeCell ref="A119:B119"/>
    <mergeCell ref="A120:B121"/>
    <mergeCell ref="A122:B122"/>
    <mergeCell ref="A123:B124"/>
    <mergeCell ref="A125:B125"/>
    <mergeCell ref="A104:B104"/>
    <mergeCell ref="A105:B106"/>
    <mergeCell ref="A107:B107"/>
    <mergeCell ref="A108:B109"/>
    <mergeCell ref="A110:B110"/>
    <mergeCell ref="A111:B112"/>
    <mergeCell ref="A113:B113"/>
    <mergeCell ref="A114:B115"/>
    <mergeCell ref="A116:B116"/>
    <mergeCell ref="A72:B73"/>
    <mergeCell ref="A74:B74"/>
    <mergeCell ref="A75:B76"/>
    <mergeCell ref="A77:B77"/>
    <mergeCell ref="A78:B79"/>
    <mergeCell ref="A80:B80"/>
    <mergeCell ref="A81:B82"/>
    <mergeCell ref="A83:B83"/>
    <mergeCell ref="A84:B85"/>
    <mergeCell ref="N9:O9"/>
    <mergeCell ref="E28:I28"/>
    <mergeCell ref="G26:H26"/>
    <mergeCell ref="E27:I27"/>
    <mergeCell ref="N27:O27"/>
    <mergeCell ref="A3:B5"/>
    <mergeCell ref="A6:B6"/>
    <mergeCell ref="A28:B28"/>
    <mergeCell ref="A7:E7"/>
    <mergeCell ref="F11:G11"/>
    <mergeCell ref="F7:H7"/>
    <mergeCell ref="F9:G9"/>
    <mergeCell ref="A27:B27"/>
    <mergeCell ref="B9:D9"/>
    <mergeCell ref="F13:G13"/>
    <mergeCell ref="A8:O8"/>
    <mergeCell ref="J15:M15"/>
    <mergeCell ref="J17:M17"/>
    <mergeCell ref="L27:M27"/>
    <mergeCell ref="A26:B26"/>
    <mergeCell ref="E178:K178"/>
    <mergeCell ref="E177:K177"/>
    <mergeCell ref="E176:K176"/>
    <mergeCell ref="E175:K175"/>
    <mergeCell ref="E174:K174"/>
    <mergeCell ref="E173:K173"/>
    <mergeCell ref="N65:O67"/>
    <mergeCell ref="L65:M67"/>
    <mergeCell ref="N11:O11"/>
    <mergeCell ref="G25:I25"/>
    <mergeCell ref="N155:O157"/>
    <mergeCell ref="L155:M157"/>
    <mergeCell ref="N152:O154"/>
    <mergeCell ref="L152:M154"/>
    <mergeCell ref="E154:K154"/>
    <mergeCell ref="E153:K153"/>
    <mergeCell ref="E152:K152"/>
    <mergeCell ref="N161:O163"/>
    <mergeCell ref="L161:M163"/>
    <mergeCell ref="N158:O160"/>
    <mergeCell ref="L158:M160"/>
    <mergeCell ref="E100:K100"/>
    <mergeCell ref="E99:K99"/>
    <mergeCell ref="E98:K98"/>
    <mergeCell ref="E97:K97"/>
    <mergeCell ref="E96:K96"/>
    <mergeCell ref="E95:K95"/>
    <mergeCell ref="N104:O106"/>
    <mergeCell ref="L104:M106"/>
    <mergeCell ref="E106:K106"/>
    <mergeCell ref="E105:K105"/>
    <mergeCell ref="E104:K104"/>
    <mergeCell ref="E103:K103"/>
    <mergeCell ref="E102:K102"/>
    <mergeCell ref="E101:K101"/>
    <mergeCell ref="A29:B29"/>
    <mergeCell ref="A30:B31"/>
    <mergeCell ref="C29:C31"/>
    <mergeCell ref="D29:D31"/>
    <mergeCell ref="N29:O31"/>
    <mergeCell ref="L29:M31"/>
    <mergeCell ref="E31:K31"/>
    <mergeCell ref="E30:K30"/>
    <mergeCell ref="E29:K29"/>
    <mergeCell ref="A32:B32"/>
    <mergeCell ref="A33:B34"/>
    <mergeCell ref="A35:B35"/>
    <mergeCell ref="A36:B37"/>
    <mergeCell ref="A38:B38"/>
    <mergeCell ref="A39:B40"/>
    <mergeCell ref="A41:B41"/>
    <mergeCell ref="A42:B43"/>
    <mergeCell ref="A44:B44"/>
    <mergeCell ref="A45:B46"/>
    <mergeCell ref="A47:B47"/>
    <mergeCell ref="A48:B49"/>
    <mergeCell ref="A50:B50"/>
    <mergeCell ref="A51:B52"/>
    <mergeCell ref="A53:B53"/>
    <mergeCell ref="A54:B55"/>
    <mergeCell ref="A56:B56"/>
    <mergeCell ref="A57:B58"/>
    <mergeCell ref="A59:B59"/>
    <mergeCell ref="A60:B61"/>
    <mergeCell ref="A62:B62"/>
    <mergeCell ref="A63:B64"/>
    <mergeCell ref="A65:B65"/>
    <mergeCell ref="A66:B67"/>
    <mergeCell ref="A68:B68"/>
    <mergeCell ref="A69:B70"/>
    <mergeCell ref="A71:B71"/>
    <mergeCell ref="A86:B86"/>
    <mergeCell ref="A87:B88"/>
    <mergeCell ref="A89:B89"/>
    <mergeCell ref="A90:B91"/>
    <mergeCell ref="A92:B92"/>
    <mergeCell ref="A93:B94"/>
    <mergeCell ref="A95:B95"/>
    <mergeCell ref="A96:B97"/>
    <mergeCell ref="A98:B98"/>
    <mergeCell ref="A140:B140"/>
    <mergeCell ref="A141:B142"/>
    <mergeCell ref="A143:B143"/>
    <mergeCell ref="A144:B145"/>
    <mergeCell ref="A146:B146"/>
    <mergeCell ref="A147:B148"/>
    <mergeCell ref="A149:B149"/>
    <mergeCell ref="A150:B151"/>
    <mergeCell ref="A152:B152"/>
    <mergeCell ref="A153:B154"/>
    <mergeCell ref="A155:B155"/>
    <mergeCell ref="A156:B157"/>
    <mergeCell ref="A158:B158"/>
    <mergeCell ref="A159:B160"/>
    <mergeCell ref="A161:B161"/>
    <mergeCell ref="A162:B163"/>
    <mergeCell ref="A164:B164"/>
    <mergeCell ref="A165:B166"/>
    <mergeCell ref="A167:B167"/>
    <mergeCell ref="A168:B169"/>
    <mergeCell ref="A170:B170"/>
    <mergeCell ref="A171:B172"/>
    <mergeCell ref="A173:B173"/>
    <mergeCell ref="A174:B175"/>
    <mergeCell ref="A176:B176"/>
    <mergeCell ref="A177:B178"/>
    <mergeCell ref="N95:O97"/>
    <mergeCell ref="L95:M97"/>
    <mergeCell ref="C95:C97"/>
    <mergeCell ref="D95:D97"/>
    <mergeCell ref="N98:O100"/>
    <mergeCell ref="L98:M100"/>
    <mergeCell ref="D98:D100"/>
    <mergeCell ref="C98:C100"/>
    <mergeCell ref="N176:O178"/>
    <mergeCell ref="L176:M178"/>
    <mergeCell ref="D176:D178"/>
    <mergeCell ref="C176:C178"/>
    <mergeCell ref="N173:O175"/>
    <mergeCell ref="L173:M175"/>
    <mergeCell ref="D173:D175"/>
    <mergeCell ref="C173:C175"/>
    <mergeCell ref="D92:D94"/>
    <mergeCell ref="C92:C94"/>
    <mergeCell ref="N89:O91"/>
    <mergeCell ref="L89:M91"/>
    <mergeCell ref="D89:D91"/>
    <mergeCell ref="C89:C91"/>
    <mergeCell ref="N86:O88"/>
    <mergeCell ref="L86:M88"/>
    <mergeCell ref="D86:D88"/>
    <mergeCell ref="C86:C88"/>
    <mergeCell ref="E94:K94"/>
    <mergeCell ref="E93:K93"/>
    <mergeCell ref="E92:K92"/>
    <mergeCell ref="E91:K91"/>
    <mergeCell ref="E90:K90"/>
    <mergeCell ref="E89:K89"/>
    <mergeCell ref="E88:K88"/>
    <mergeCell ref="E87:K87"/>
    <mergeCell ref="E86:K86"/>
    <mergeCell ref="N92:O94"/>
    <mergeCell ref="L92:M94"/>
    <mergeCell ref="D83:D85"/>
    <mergeCell ref="C83:C85"/>
    <mergeCell ref="N80:O82"/>
    <mergeCell ref="L80:M82"/>
    <mergeCell ref="D80:D82"/>
    <mergeCell ref="C80:C82"/>
    <mergeCell ref="N77:O79"/>
    <mergeCell ref="L77:M79"/>
    <mergeCell ref="D77:D79"/>
    <mergeCell ref="C77:C79"/>
    <mergeCell ref="E85:K85"/>
    <mergeCell ref="E84:K84"/>
    <mergeCell ref="E83:K83"/>
    <mergeCell ref="E82:K82"/>
    <mergeCell ref="E81:K81"/>
    <mergeCell ref="E80:K80"/>
    <mergeCell ref="E79:K79"/>
    <mergeCell ref="E78:K78"/>
    <mergeCell ref="E77:K77"/>
    <mergeCell ref="N83:O85"/>
    <mergeCell ref="L83:M85"/>
    <mergeCell ref="D74:D76"/>
    <mergeCell ref="C74:C76"/>
    <mergeCell ref="N71:O73"/>
    <mergeCell ref="L71:M73"/>
    <mergeCell ref="D71:D73"/>
    <mergeCell ref="C71:C73"/>
    <mergeCell ref="N68:O70"/>
    <mergeCell ref="L68:M70"/>
    <mergeCell ref="D68:D70"/>
    <mergeCell ref="C68:C70"/>
    <mergeCell ref="E76:K76"/>
    <mergeCell ref="E75:K75"/>
    <mergeCell ref="E74:K74"/>
    <mergeCell ref="E73:K73"/>
    <mergeCell ref="E72:K72"/>
    <mergeCell ref="E71:K71"/>
    <mergeCell ref="E70:K70"/>
    <mergeCell ref="E69:K69"/>
    <mergeCell ref="E68:K68"/>
    <mergeCell ref="N74:O76"/>
    <mergeCell ref="L74:M76"/>
    <mergeCell ref="D65:D67"/>
    <mergeCell ref="C65:C67"/>
    <mergeCell ref="N62:O64"/>
    <mergeCell ref="L62:M64"/>
    <mergeCell ref="D62:D64"/>
    <mergeCell ref="C62:C64"/>
    <mergeCell ref="N59:O61"/>
    <mergeCell ref="L59:M61"/>
    <mergeCell ref="D59:D61"/>
    <mergeCell ref="C59:C61"/>
    <mergeCell ref="E67:K67"/>
    <mergeCell ref="E66:K66"/>
    <mergeCell ref="E65:K65"/>
    <mergeCell ref="E64:K64"/>
    <mergeCell ref="E63:K63"/>
    <mergeCell ref="E62:K62"/>
    <mergeCell ref="E61:K61"/>
    <mergeCell ref="E60:K60"/>
    <mergeCell ref="E59:K59"/>
    <mergeCell ref="D56:D58"/>
    <mergeCell ref="C56:C58"/>
    <mergeCell ref="N53:O55"/>
    <mergeCell ref="L53:M55"/>
    <mergeCell ref="D53:D55"/>
    <mergeCell ref="C53:C55"/>
    <mergeCell ref="N50:O52"/>
    <mergeCell ref="L50:M52"/>
    <mergeCell ref="D50:D52"/>
    <mergeCell ref="C50:C52"/>
    <mergeCell ref="E58:K58"/>
    <mergeCell ref="E57:K57"/>
    <mergeCell ref="E56:K56"/>
    <mergeCell ref="E55:K55"/>
    <mergeCell ref="E54:K54"/>
    <mergeCell ref="E53:K53"/>
    <mergeCell ref="E52:K52"/>
    <mergeCell ref="E51:K51"/>
    <mergeCell ref="E50:K50"/>
    <mergeCell ref="N56:O58"/>
    <mergeCell ref="L56:M58"/>
    <mergeCell ref="N47:O49"/>
    <mergeCell ref="L47:M49"/>
    <mergeCell ref="D47:D49"/>
    <mergeCell ref="C47:C49"/>
    <mergeCell ref="N44:O46"/>
    <mergeCell ref="L44:M46"/>
    <mergeCell ref="D44:D46"/>
    <mergeCell ref="C44:C46"/>
    <mergeCell ref="N41:O43"/>
    <mergeCell ref="L41:M43"/>
    <mergeCell ref="D41:D43"/>
    <mergeCell ref="C41:C43"/>
    <mergeCell ref="E49:K49"/>
    <mergeCell ref="E48:K48"/>
    <mergeCell ref="E47:K47"/>
    <mergeCell ref="E46:K46"/>
    <mergeCell ref="E45:K45"/>
    <mergeCell ref="E44:K44"/>
    <mergeCell ref="E43:K43"/>
    <mergeCell ref="E42:K42"/>
    <mergeCell ref="E41:K41"/>
    <mergeCell ref="D38:D40"/>
    <mergeCell ref="C38:C40"/>
    <mergeCell ref="N35:O37"/>
    <mergeCell ref="L35:M37"/>
    <mergeCell ref="C35:C37"/>
    <mergeCell ref="D35:D37"/>
    <mergeCell ref="L32:M34"/>
    <mergeCell ref="N32:O34"/>
    <mergeCell ref="D32:D34"/>
    <mergeCell ref="C32:C34"/>
    <mergeCell ref="E40:K40"/>
    <mergeCell ref="E39:K39"/>
    <mergeCell ref="E38:K38"/>
    <mergeCell ref="E37:K37"/>
    <mergeCell ref="E36:K36"/>
    <mergeCell ref="E35:K35"/>
    <mergeCell ref="E34:K34"/>
    <mergeCell ref="E33:K33"/>
    <mergeCell ref="E32:K32"/>
    <mergeCell ref="N38:O40"/>
    <mergeCell ref="L38:M40"/>
    <mergeCell ref="N170:O172"/>
    <mergeCell ref="L170:M172"/>
    <mergeCell ref="D170:D172"/>
    <mergeCell ref="C170:C172"/>
    <mergeCell ref="N167:O169"/>
    <mergeCell ref="L167:M169"/>
    <mergeCell ref="D167:D169"/>
    <mergeCell ref="C167:C169"/>
    <mergeCell ref="N164:O166"/>
    <mergeCell ref="L164:M166"/>
    <mergeCell ref="D164:D166"/>
    <mergeCell ref="C164:C166"/>
    <mergeCell ref="D149:D151"/>
    <mergeCell ref="C149:C151"/>
    <mergeCell ref="N146:O148"/>
    <mergeCell ref="L146:M148"/>
    <mergeCell ref="D146:D148"/>
    <mergeCell ref="C146:C148"/>
    <mergeCell ref="N143:O145"/>
    <mergeCell ref="L143:M145"/>
    <mergeCell ref="D143:D145"/>
    <mergeCell ref="C143:C145"/>
    <mergeCell ref="E151:K151"/>
    <mergeCell ref="E150:K150"/>
    <mergeCell ref="E149:K149"/>
    <mergeCell ref="E148:K148"/>
    <mergeCell ref="E147:K147"/>
    <mergeCell ref="E146:K146"/>
    <mergeCell ref="E145:K145"/>
    <mergeCell ref="E144:K144"/>
    <mergeCell ref="E143:K143"/>
    <mergeCell ref="N149:O151"/>
    <mergeCell ref="L149:M151"/>
    <mergeCell ref="D140:D142"/>
    <mergeCell ref="C140:C142"/>
    <mergeCell ref="N137:O139"/>
    <mergeCell ref="L137:M139"/>
    <mergeCell ref="D137:D139"/>
    <mergeCell ref="C137:C139"/>
    <mergeCell ref="N134:O136"/>
    <mergeCell ref="L134:M136"/>
    <mergeCell ref="D134:D136"/>
    <mergeCell ref="C134:C136"/>
    <mergeCell ref="E142:K142"/>
    <mergeCell ref="E141:K141"/>
    <mergeCell ref="E140:K140"/>
    <mergeCell ref="E139:K139"/>
    <mergeCell ref="E138:K138"/>
    <mergeCell ref="E137:K137"/>
    <mergeCell ref="E136:K136"/>
    <mergeCell ref="E135:K135"/>
    <mergeCell ref="E134:K134"/>
    <mergeCell ref="N140:O142"/>
    <mergeCell ref="L140:M142"/>
    <mergeCell ref="D131:D133"/>
    <mergeCell ref="C131:C133"/>
    <mergeCell ref="N128:O130"/>
    <mergeCell ref="L128:M130"/>
    <mergeCell ref="D128:D130"/>
    <mergeCell ref="C128:C130"/>
    <mergeCell ref="N125:O127"/>
    <mergeCell ref="L125:M127"/>
    <mergeCell ref="D125:D127"/>
    <mergeCell ref="C125:C127"/>
    <mergeCell ref="E133:K133"/>
    <mergeCell ref="E132:K132"/>
    <mergeCell ref="E131:K131"/>
    <mergeCell ref="E130:K130"/>
    <mergeCell ref="E129:K129"/>
    <mergeCell ref="E128:K128"/>
    <mergeCell ref="E127:K127"/>
    <mergeCell ref="E126:K126"/>
    <mergeCell ref="E125:K125"/>
    <mergeCell ref="N131:O133"/>
    <mergeCell ref="L131:M133"/>
    <mergeCell ref="D122:D124"/>
    <mergeCell ref="C122:C124"/>
    <mergeCell ref="N119:O121"/>
    <mergeCell ref="L119:M121"/>
    <mergeCell ref="D119:D121"/>
    <mergeCell ref="C119:C121"/>
    <mergeCell ref="N116:O118"/>
    <mergeCell ref="L116:M118"/>
    <mergeCell ref="D116:D118"/>
    <mergeCell ref="C116:C118"/>
    <mergeCell ref="E124:K124"/>
    <mergeCell ref="E123:K123"/>
    <mergeCell ref="E122:K122"/>
    <mergeCell ref="E121:K121"/>
    <mergeCell ref="E120:K120"/>
    <mergeCell ref="E119:K119"/>
    <mergeCell ref="E118:K118"/>
    <mergeCell ref="E117:K117"/>
    <mergeCell ref="E116:K116"/>
    <mergeCell ref="N122:O124"/>
    <mergeCell ref="L122:M124"/>
    <mergeCell ref="D113:D115"/>
    <mergeCell ref="C113:C115"/>
    <mergeCell ref="N110:O112"/>
    <mergeCell ref="L110:M112"/>
    <mergeCell ref="D110:D112"/>
    <mergeCell ref="C110:C112"/>
    <mergeCell ref="N107:O109"/>
    <mergeCell ref="L107:M109"/>
    <mergeCell ref="D107:D109"/>
    <mergeCell ref="C107:C109"/>
    <mergeCell ref="E115:K115"/>
    <mergeCell ref="E114:K114"/>
    <mergeCell ref="E113:K113"/>
    <mergeCell ref="E112:K112"/>
    <mergeCell ref="E111:K111"/>
    <mergeCell ref="E110:K110"/>
    <mergeCell ref="E109:K109"/>
    <mergeCell ref="E108:K108"/>
    <mergeCell ref="E107:K107"/>
    <mergeCell ref="N113:O115"/>
    <mergeCell ref="L113:M115"/>
    <mergeCell ref="D104:D106"/>
    <mergeCell ref="C104:C106"/>
    <mergeCell ref="N101:O103"/>
    <mergeCell ref="L101:M103"/>
    <mergeCell ref="D101:D103"/>
    <mergeCell ref="C101:C103"/>
    <mergeCell ref="E172:K172"/>
    <mergeCell ref="E171:K171"/>
    <mergeCell ref="E170:K170"/>
    <mergeCell ref="E169:K169"/>
    <mergeCell ref="E168:K168"/>
    <mergeCell ref="E167:K167"/>
    <mergeCell ref="E166:K166"/>
    <mergeCell ref="E165:K165"/>
    <mergeCell ref="E164:K164"/>
    <mergeCell ref="E163:K163"/>
    <mergeCell ref="E162:K162"/>
    <mergeCell ref="E161:K161"/>
    <mergeCell ref="E160:K160"/>
    <mergeCell ref="E159:K159"/>
    <mergeCell ref="E158:K158"/>
    <mergeCell ref="E157:K157"/>
    <mergeCell ref="E156:K156"/>
    <mergeCell ref="E155:K155"/>
  </mergeCells>
  <conditionalFormatting sqref="A6 B9 F9 J9 B11 B13 C15 E15 B17 B19 F11 F13 J11 J13 J15 J17 H19:H23 A29:A30 C29:D29 L29 N29 A32:A33 C32:D32 L32 N32 A35:A36 C35:D35 L35 N35 A38:A39 C38:D38 L38 N38 A41:A42 C41:D41 L41 N41 A44:A45 C44:D44 L44 N44 A47:A48 C47:D47 L47 N47 A50:A51 C50:D50 L50 N50 A53:A54 C53:D53 L53 N53 A56:A57 C56:D56 L56 N56 A59:A60 C59:D59 L59 N59 A62:A63 C62:D62 L62 N62 A65:A66 C65:D65 L65 N65 A68:A69 C68:D68 L68 N68 A71:A72 C71:D71 L71 N71 A74:A75 C74:D74 L74 N74 A77:A78 C77:D77 L77 N77 A80:A81 C80:D80 L80 N80 A83:A84 C83:D83 L83 N83 A86:A87 C86:D86 L86 N86 A89:A90 C89:D89 L89 N89 A92:A93 C92:D92 L92 N92 A95:A96 C95:D95 L95 N95 A98:A99 C98:D98 L98 N98 A101:A102 C101:D101 L101 N101 A104:A105 C104:D104 L104 N104 A107:A108 C107:D107 L107 N107 A110:A111 C110:D110 L110 N110 A113:A114 C113:D113 L113 N113 A116:A117 C116:D116 L116 N116 A119:A120 C119:D119 L119 N119 A122:A123 C122:D122 L122 N122 A125:A126 C125:D125 L125 N125 A128:A129 C128:D128 L128 N128 A131:A132 C131:D131 L131 N131 A134:A135 C134:D134 L134 N134 A137:A138 C137:D137 L137 N137 A140:A141 C140:D140 L140 N140 A143:A144 C143:D143 L143 N143 A146:A147 C146:D146 L146 N146 A149:A150 C149:D149 L149 N149 A152:A153 C152:D152 L152 N152 A155:A156 C155:D155 L155 N155 A158:A159 C158:D158 L158 N158 A161:A162 C161:D161 L161 N161 A164:A165 C164:D164 L164 N164 A167:A168 C167:D167 L167 N167 A170:A171 C170:D170 L170 N170 A173:A174 C173:D173 L173 N173 A176:A177 C176:D176 E29:E178 L176 N176">
    <cfRule type="containsBlanks" dxfId="9" priority="26">
      <formula>LEN(TRIM(A6))=0</formula>
    </cfRule>
  </conditionalFormatting>
  <conditionalFormatting sqref="D3">
    <cfRule type="expression" dxfId="8" priority="29">
      <formula>$Q187="[SELECT LOCATION]"</formula>
    </cfRule>
    <cfRule type="expression" dxfId="7" priority="30">
      <formula>$Q187&lt;&gt;"[SELECT LOCATION]"</formula>
    </cfRule>
  </conditionalFormatting>
  <dataValidations count="1">
    <dataValidation allowBlank="1" sqref="J13"/>
  </dataValidations>
  <printOptions horizontalCentered="1"/>
  <pageMargins left="0.7" right="0.7" top="0.75" bottom="0.75" header="0.3" footer="0.3"/>
  <pageSetup scale="44" fitToHeight="0" orientation="landscape" blackAndWhite="1" horizontalDpi="0" verticalDpi="0" r:id="rId1"/>
  <headerFooter>
    <oddHeader>&amp;C&amp;18Page &amp;P of &amp;N</oddHeader>
  </headerFooter>
  <drawing r:id="rId2"/>
  <legacyDrawing r:id="rId3"/>
  <controls>
    <mc:AlternateContent xmlns:mc="http://schemas.openxmlformats.org/markup-compatibility/2006">
      <mc:Choice Requires="x14">
        <control shapeId="1034" r:id="rId4" name="ComboBox3">
          <controlPr defaultSize="0" print="0" autoLine="0" linkedCell="G25" listFillRange="T188:T190" r:id="rId5">
            <anchor>
              <from>
                <xdr:col>6</xdr:col>
                <xdr:colOff>485775</xdr:colOff>
                <xdr:row>23</xdr:row>
                <xdr:rowOff>161925</xdr:rowOff>
              </from>
              <to>
                <xdr:col>8</xdr:col>
                <xdr:colOff>1476375</xdr:colOff>
                <xdr:row>24</xdr:row>
                <xdr:rowOff>257175</xdr:rowOff>
              </to>
            </anchor>
          </controlPr>
        </control>
      </mc:Choice>
      <mc:Fallback>
        <control shapeId="1034" r:id="rId4" name="ComboBox3"/>
      </mc:Fallback>
    </mc:AlternateContent>
    <mc:AlternateContent xmlns:mc="http://schemas.openxmlformats.org/markup-compatibility/2006">
      <mc:Choice Requires="x14">
        <control shapeId="1032" r:id="rId6" name="ComboBox2">
          <controlPr defaultSize="0" print="0" autoFill="0" autoLine="0" linkedCell="B15" listFillRange="S188:S198" r:id="rId7">
            <anchor>
              <from>
                <xdr:col>1</xdr:col>
                <xdr:colOff>19050</xdr:colOff>
                <xdr:row>13</xdr:row>
                <xdr:rowOff>238125</xdr:rowOff>
              </from>
              <to>
                <xdr:col>2</xdr:col>
                <xdr:colOff>19050</xdr:colOff>
                <xdr:row>14</xdr:row>
                <xdr:rowOff>247650</xdr:rowOff>
              </to>
            </anchor>
          </controlPr>
        </control>
      </mc:Choice>
      <mc:Fallback>
        <control shapeId="1032" r:id="rId6" name="ComboBox2"/>
      </mc:Fallback>
    </mc:AlternateContent>
    <mc:AlternateContent xmlns:mc="http://schemas.openxmlformats.org/markup-compatibility/2006">
      <mc:Choice Requires="x14">
        <control shapeId="1029" r:id="rId8" name="ComboBox1">
          <controlPr autoLine="0" autoPict="0" linkedCell="Q187" listFillRange="Q188:Q408" r:id="rId9">
            <anchor>
              <from>
                <xdr:col>3</xdr:col>
                <xdr:colOff>0</xdr:colOff>
                <xdr:row>5</xdr:row>
                <xdr:rowOff>19050</xdr:rowOff>
              </from>
              <to>
                <xdr:col>6</xdr:col>
                <xdr:colOff>0</xdr:colOff>
                <xdr:row>5</xdr:row>
                <xdr:rowOff>276225</xdr:rowOff>
              </to>
            </anchor>
          </controlPr>
        </control>
      </mc:Choice>
      <mc:Fallback>
        <control shapeId="1029" r:id="rId8" name="ComboBox1"/>
      </mc:Fallback>
    </mc:AlternateContent>
  </controls>
  <tableParts count="2"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V109"/>
  <sheetViews>
    <sheetView topLeftCell="B6" zoomScale="85" zoomScaleNormal="85" workbookViewId="0">
      <selection activeCell="T14" sqref="T14:AA14"/>
    </sheetView>
  </sheetViews>
  <sheetFormatPr defaultRowHeight="15"/>
  <cols>
    <col min="1" max="1" width="5.140625" style="1" hidden="1" customWidth="1"/>
    <col min="2" max="2" width="5.42578125" style="1" customWidth="1"/>
    <col min="3" max="5" width="10.7109375" style="1" customWidth="1"/>
    <col min="6" max="7" width="4.5703125" style="1" customWidth="1"/>
    <col min="8" max="8" width="5.28515625" style="1" customWidth="1"/>
    <col min="9" max="9" width="4.28515625" style="1" customWidth="1"/>
    <col min="10" max="10" width="11.140625" style="1" customWidth="1"/>
    <col min="11" max="11" width="4.5703125" style="1" customWidth="1"/>
    <col min="12" max="12" width="4.28515625" style="1" customWidth="1"/>
    <col min="13" max="18" width="4.7109375" style="1" customWidth="1"/>
    <col min="19" max="19" width="4.5703125" style="1" customWidth="1"/>
    <col min="20" max="20" width="6.7109375" style="1" customWidth="1"/>
    <col min="21" max="21" width="6.42578125" style="1" customWidth="1"/>
    <col min="22" max="22" width="3.7109375" style="1" customWidth="1"/>
    <col min="23" max="23" width="6.42578125" style="1" customWidth="1"/>
    <col min="24" max="24" width="4.5703125" style="1" customWidth="1"/>
    <col min="25" max="25" width="3" style="1" customWidth="1"/>
    <col min="26" max="26" width="4.5703125" style="1" customWidth="1"/>
    <col min="27" max="27" width="6.7109375" style="1" customWidth="1"/>
    <col min="28" max="28" width="4.5703125" style="1" customWidth="1"/>
    <col min="29" max="29" width="6.7109375" style="1" customWidth="1"/>
    <col min="30" max="30" width="3.5703125" style="1" customWidth="1"/>
    <col min="31" max="31" width="6.7109375" style="1" customWidth="1"/>
    <col min="32" max="32" width="8.7109375" style="1" bestFit="1" customWidth="1"/>
    <col min="33" max="34" width="7.7109375" style="1" customWidth="1"/>
    <col min="35" max="35" width="7.85546875" style="1" bestFit="1" customWidth="1"/>
    <col min="36" max="36" width="13" style="1" bestFit="1" customWidth="1"/>
    <col min="37" max="37" width="8.85546875" style="1" bestFit="1" customWidth="1"/>
    <col min="38" max="38" width="9.140625" style="1"/>
    <col min="39" max="39" width="24.28515625" style="1" hidden="1" customWidth="1"/>
    <col min="40" max="40" width="27" style="1" hidden="1" customWidth="1"/>
    <col min="41" max="41" width="32.7109375" style="1" hidden="1" customWidth="1"/>
    <col min="42" max="42" width="17.5703125" style="1" hidden="1" customWidth="1"/>
    <col min="43" max="43" width="3" style="1" hidden="1" customWidth="1"/>
    <col min="44" max="44" width="5.5703125" style="1" hidden="1" customWidth="1"/>
    <col min="45" max="45" width="5.140625" style="1" hidden="1" customWidth="1"/>
    <col min="46" max="48" width="9.140625" style="1" hidden="1" customWidth="1"/>
    <col min="49" max="16384" width="9.140625" style="1"/>
  </cols>
  <sheetData>
    <row r="1" spans="1:45" s="5" customFormat="1" ht="21" hidden="1">
      <c r="B1" s="202" t="s">
        <v>307</v>
      </c>
      <c r="C1" s="202"/>
      <c r="D1" s="202"/>
      <c r="E1" s="202"/>
      <c r="F1" s="148">
        <f>'SE Manifest'!A6</f>
        <v>4</v>
      </c>
      <c r="G1" s="130"/>
      <c r="AS1" s="73"/>
    </row>
    <row r="2" spans="1:45" s="5" customFormat="1" ht="21" hidden="1">
      <c r="B2" s="72" t="s">
        <v>264</v>
      </c>
      <c r="C2" s="5" t="s">
        <v>265</v>
      </c>
      <c r="D2" s="5" t="s">
        <v>266</v>
      </c>
    </row>
    <row r="3" spans="1:45" s="5" customFormat="1" ht="21" hidden="1">
      <c r="B3" s="72" t="s">
        <v>267</v>
      </c>
      <c r="C3" s="5" t="s">
        <v>268</v>
      </c>
      <c r="D3" s="5" t="s">
        <v>269</v>
      </c>
    </row>
    <row r="4" spans="1:45" s="5" customFormat="1" ht="21" hidden="1">
      <c r="B4" s="72" t="s">
        <v>270</v>
      </c>
      <c r="C4" s="5" t="s">
        <v>271</v>
      </c>
      <c r="D4" s="5" t="s">
        <v>272</v>
      </c>
    </row>
    <row r="5" spans="1:45" s="5" customFormat="1" ht="21" hidden="1">
      <c r="B5" s="72" t="s">
        <v>273</v>
      </c>
      <c r="C5" s="5" t="s">
        <v>274</v>
      </c>
      <c r="D5" s="5" t="s">
        <v>275</v>
      </c>
    </row>
    <row r="6" spans="1:45" s="5" customFormat="1" ht="21">
      <c r="A6" s="130"/>
      <c r="B6" s="247" t="s">
        <v>305</v>
      </c>
      <c r="C6" s="247"/>
      <c r="D6" s="247"/>
      <c r="E6" s="247"/>
      <c r="F6" s="247" t="s">
        <v>306</v>
      </c>
      <c r="G6" s="247"/>
      <c r="H6" s="247"/>
      <c r="I6" s="247"/>
      <c r="J6" s="247" t="s">
        <v>263</v>
      </c>
      <c r="K6" s="247"/>
      <c r="L6" s="247"/>
      <c r="M6" s="247"/>
      <c r="N6" s="247"/>
      <c r="O6" s="247"/>
      <c r="P6" s="247"/>
      <c r="Q6" s="247" t="s">
        <v>310</v>
      </c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</row>
    <row r="7" spans="1:45" s="5" customFormat="1" ht="21">
      <c r="B7" s="246" t="str">
        <f>IF('SE Manifest'!C15="","",'SE Manifest'!C15)</f>
        <v/>
      </c>
      <c r="C7" s="246"/>
      <c r="D7" s="246"/>
      <c r="E7" s="246"/>
      <c r="F7" s="246" t="str">
        <f>IF('SE Manifest'!E15="","",'SE Manifest'!E15)</f>
        <v/>
      </c>
      <c r="G7" s="246"/>
      <c r="H7" s="246"/>
      <c r="I7" s="246"/>
      <c r="AC7" s="119"/>
      <c r="AD7" s="119"/>
      <c r="AE7" s="119"/>
      <c r="AF7" s="119"/>
      <c r="AG7" s="119"/>
      <c r="AH7" s="119"/>
      <c r="AI7" s="119"/>
      <c r="AJ7" s="119"/>
      <c r="AK7" s="119"/>
    </row>
    <row r="9" spans="1:45">
      <c r="AG9" s="250" t="s">
        <v>252</v>
      </c>
      <c r="AH9" s="250"/>
      <c r="AI9" s="250"/>
      <c r="AJ9" s="250"/>
      <c r="AK9" s="250"/>
    </row>
    <row r="10" spans="1:45" ht="27">
      <c r="B10" s="74"/>
      <c r="C10" s="74"/>
      <c r="D10" s="74"/>
      <c r="E10" s="74"/>
      <c r="F10" s="251" t="s">
        <v>295</v>
      </c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  <c r="AA10" s="251"/>
      <c r="AB10" s="251"/>
      <c r="AC10" s="251"/>
      <c r="AD10" s="251"/>
      <c r="AE10" s="251"/>
      <c r="AF10" s="251"/>
      <c r="AG10" s="250"/>
      <c r="AH10" s="250"/>
      <c r="AI10" s="250"/>
      <c r="AJ10" s="250"/>
      <c r="AK10" s="250"/>
      <c r="AM10" s="5" t="s">
        <v>293</v>
      </c>
      <c r="AN10" s="5" t="s">
        <v>265</v>
      </c>
      <c r="AO10" s="5" t="s">
        <v>311</v>
      </c>
      <c r="AP10" s="5" t="s">
        <v>271</v>
      </c>
      <c r="AQ10" s="5" t="s">
        <v>274</v>
      </c>
      <c r="AR10" s="5" t="s">
        <v>276</v>
      </c>
      <c r="AS10" s="5" t="s">
        <v>278</v>
      </c>
    </row>
    <row r="11" spans="1:45" ht="11.1" customHeight="1">
      <c r="B11" s="22"/>
      <c r="C11" s="22"/>
      <c r="D11" s="22"/>
      <c r="E11" s="2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252"/>
      <c r="R11" s="252"/>
      <c r="S11" s="253"/>
      <c r="T11" s="253"/>
      <c r="U11" s="253"/>
      <c r="V11" s="253"/>
      <c r="W11" s="253"/>
      <c r="X11" s="22"/>
      <c r="Y11" s="22"/>
      <c r="Z11" s="22"/>
      <c r="AA11" s="22"/>
      <c r="AB11" s="22"/>
      <c r="AC11" s="22"/>
      <c r="AD11" s="22"/>
      <c r="AE11" s="22"/>
      <c r="AF11" s="22"/>
      <c r="AG11" s="250"/>
      <c r="AH11" s="250"/>
      <c r="AI11" s="250"/>
      <c r="AJ11" s="250"/>
      <c r="AK11" s="250"/>
      <c r="AM11" s="5" t="s">
        <v>294</v>
      </c>
      <c r="AN11" s="5" t="s">
        <v>266</v>
      </c>
      <c r="AO11" s="5" t="s">
        <v>312</v>
      </c>
      <c r="AP11" s="5" t="s">
        <v>272</v>
      </c>
      <c r="AQ11" s="5" t="s">
        <v>275</v>
      </c>
      <c r="AR11" s="5" t="s">
        <v>277</v>
      </c>
      <c r="AS11" s="5" t="s">
        <v>279</v>
      </c>
    </row>
    <row r="12" spans="1:45" ht="11.1" customHeight="1" thickBot="1">
      <c r="AB12" s="254"/>
      <c r="AC12" s="254"/>
      <c r="AD12" s="254"/>
      <c r="AE12" s="254"/>
      <c r="AF12" s="254"/>
      <c r="AG12" s="75"/>
      <c r="AH12" s="75"/>
      <c r="AI12" s="75"/>
      <c r="AJ12" s="75"/>
      <c r="AK12" s="75"/>
      <c r="AM12" s="5"/>
      <c r="AN12" s="5"/>
      <c r="AO12" s="5"/>
      <c r="AP12" s="5"/>
      <c r="AQ12" s="5"/>
      <c r="AR12" s="5"/>
      <c r="AS12" s="5" t="s">
        <v>280</v>
      </c>
    </row>
    <row r="13" spans="1:45" ht="24.95" customHeight="1">
      <c r="A13" s="12"/>
      <c r="B13" s="76" t="s">
        <v>282</v>
      </c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8" t="s">
        <v>296</v>
      </c>
      <c r="U13" s="77"/>
      <c r="V13" s="77"/>
      <c r="W13" s="77"/>
      <c r="X13" s="77"/>
      <c r="Y13" s="77"/>
      <c r="Z13" s="77"/>
      <c r="AA13" s="77"/>
      <c r="AB13" s="79"/>
      <c r="AC13" s="80"/>
      <c r="AD13" s="79"/>
      <c r="AE13" s="79"/>
      <c r="AF13" s="79"/>
      <c r="AG13" s="79"/>
      <c r="AH13" s="79"/>
      <c r="AI13" s="79"/>
      <c r="AJ13" s="79"/>
      <c r="AK13" s="80"/>
      <c r="AL13" s="12"/>
      <c r="AM13" s="5"/>
      <c r="AN13" s="5"/>
      <c r="AO13" s="5"/>
      <c r="AP13" s="5"/>
      <c r="AQ13" s="5"/>
      <c r="AR13" s="5"/>
      <c r="AS13" s="5" t="s">
        <v>281</v>
      </c>
    </row>
    <row r="14" spans="1:45" ht="24.95" customHeight="1" thickBot="1">
      <c r="A14" s="12"/>
      <c r="B14" s="81"/>
      <c r="C14" s="257" t="str">
        <f>'SE Manifest'!B19</f>
        <v/>
      </c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81"/>
      <c r="T14" s="255"/>
      <c r="U14" s="256"/>
      <c r="V14" s="256"/>
      <c r="W14" s="256"/>
      <c r="X14" s="256"/>
      <c r="Y14" s="256"/>
      <c r="Z14" s="256"/>
      <c r="AA14" s="256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12"/>
      <c r="AN14" s="5"/>
      <c r="AO14" s="5"/>
      <c r="AP14" s="5"/>
      <c r="AQ14" s="5"/>
      <c r="AR14" s="5"/>
      <c r="AS14" s="5"/>
    </row>
    <row r="15" spans="1:45" ht="24.95" customHeight="1">
      <c r="A15" s="82"/>
      <c r="B15" s="81"/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81"/>
      <c r="T15" s="78" t="s">
        <v>283</v>
      </c>
      <c r="U15" s="83"/>
      <c r="V15" s="83"/>
      <c r="W15" s="83"/>
      <c r="X15" s="83"/>
      <c r="Y15" s="83"/>
      <c r="Z15" s="83"/>
      <c r="AA15" s="83"/>
      <c r="AB15" s="248"/>
      <c r="AC15" s="248"/>
      <c r="AD15" s="248"/>
      <c r="AE15" s="248"/>
      <c r="AF15" s="248"/>
      <c r="AG15" s="248"/>
      <c r="AH15" s="248"/>
      <c r="AI15" s="248"/>
      <c r="AJ15" s="248"/>
      <c r="AK15" s="248"/>
      <c r="AL15" s="12"/>
      <c r="AN15" s="5"/>
      <c r="AO15" s="5"/>
      <c r="AP15" s="5"/>
      <c r="AQ15" s="5"/>
      <c r="AR15" s="5"/>
      <c r="AS15" s="5"/>
    </row>
    <row r="16" spans="1:45" ht="24.95" customHeight="1">
      <c r="A16" s="12"/>
      <c r="B16" s="81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81"/>
      <c r="T16" s="84"/>
      <c r="U16" s="249" t="str">
        <f>IF('SE Manifest'!J9="","",'SE Manifest'!J9)</f>
        <v/>
      </c>
      <c r="V16" s="249"/>
      <c r="W16" s="249"/>
      <c r="X16" s="249"/>
      <c r="Y16" s="249"/>
      <c r="Z16" s="249"/>
      <c r="AA16" s="249"/>
      <c r="AB16" s="249"/>
      <c r="AC16" s="249"/>
      <c r="AD16" s="249"/>
      <c r="AE16" s="249"/>
      <c r="AF16" s="249"/>
      <c r="AG16" s="249"/>
      <c r="AH16" s="249"/>
      <c r="AI16" s="249"/>
      <c r="AJ16" s="249"/>
      <c r="AK16" s="81"/>
      <c r="AL16" s="12"/>
      <c r="AN16" s="5"/>
      <c r="AO16" s="5"/>
      <c r="AP16" s="5"/>
      <c r="AQ16" s="5"/>
      <c r="AR16" s="5"/>
      <c r="AS16" s="5"/>
    </row>
    <row r="17" spans="1:45" ht="24.95" customHeight="1">
      <c r="A17" s="12"/>
      <c r="B17" s="81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81"/>
      <c r="T17" s="85"/>
      <c r="U17" s="249" t="str">
        <f>IF('SE Manifest'!J15="","",UPPER('SE Manifest'!J11)&amp;" Ref: "&amp;UPPER('SE Manifest'!J15))</f>
        <v/>
      </c>
      <c r="V17" s="249"/>
      <c r="W17" s="249"/>
      <c r="X17" s="249"/>
      <c r="Y17" s="249"/>
      <c r="Z17" s="249"/>
      <c r="AA17" s="249"/>
      <c r="AB17" s="249"/>
      <c r="AC17" s="249"/>
      <c r="AD17" s="249"/>
      <c r="AE17" s="249"/>
      <c r="AF17" s="249"/>
      <c r="AG17" s="249"/>
      <c r="AH17" s="249"/>
      <c r="AI17" s="249"/>
      <c r="AJ17" s="249"/>
      <c r="AK17" s="86"/>
      <c r="AL17" s="12"/>
      <c r="AN17" s="5"/>
      <c r="AO17" s="5"/>
      <c r="AP17" s="5"/>
      <c r="AQ17" s="5"/>
      <c r="AR17" s="5"/>
      <c r="AS17" s="5"/>
    </row>
    <row r="18" spans="1:45" ht="24.95" customHeight="1">
      <c r="A18" s="12"/>
      <c r="B18" s="81"/>
      <c r="C18" s="257"/>
      <c r="D18" s="25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81"/>
      <c r="T18" s="87"/>
      <c r="U18" s="245"/>
      <c r="V18" s="245"/>
      <c r="W18" s="245"/>
      <c r="X18" s="245"/>
      <c r="Y18" s="245"/>
      <c r="Z18" s="245"/>
      <c r="AA18" s="245"/>
      <c r="AB18" s="245"/>
      <c r="AC18" s="245"/>
      <c r="AD18" s="245"/>
      <c r="AE18" s="245"/>
      <c r="AF18" s="245"/>
      <c r="AG18" s="245"/>
      <c r="AH18" s="245"/>
      <c r="AI18" s="245"/>
      <c r="AJ18" s="245"/>
      <c r="AK18" s="86"/>
      <c r="AL18" s="12"/>
      <c r="AN18" s="5"/>
      <c r="AO18" s="5"/>
      <c r="AP18" s="5"/>
      <c r="AQ18" s="5"/>
      <c r="AR18" s="5"/>
      <c r="AS18" s="5"/>
    </row>
    <row r="19" spans="1:45" ht="24.95" customHeight="1" thickBot="1">
      <c r="A19" s="12"/>
      <c r="B19" s="88"/>
      <c r="C19" s="88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231"/>
      <c r="U19" s="232"/>
      <c r="V19" s="232"/>
      <c r="W19" s="232"/>
      <c r="X19" s="232"/>
      <c r="Y19" s="232"/>
      <c r="Z19" s="90"/>
      <c r="AA19" s="90"/>
      <c r="AB19" s="90"/>
      <c r="AC19" s="91"/>
      <c r="AD19" s="232"/>
      <c r="AE19" s="232"/>
      <c r="AF19" s="232"/>
      <c r="AG19" s="232"/>
      <c r="AH19" s="232"/>
      <c r="AI19" s="232"/>
      <c r="AJ19" s="232"/>
      <c r="AK19" s="92"/>
      <c r="AL19" s="12"/>
      <c r="AN19" s="5"/>
      <c r="AO19" s="5"/>
      <c r="AP19" s="5"/>
      <c r="AQ19" s="5"/>
      <c r="AR19" s="5"/>
      <c r="AS19" s="5"/>
    </row>
    <row r="20" spans="1:45" ht="24.95" customHeight="1">
      <c r="A20" s="12"/>
      <c r="B20" s="76" t="s">
        <v>284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93"/>
      <c r="T20" s="243" t="s">
        <v>285</v>
      </c>
      <c r="U20" s="244"/>
      <c r="V20" s="244"/>
      <c r="W20" s="244"/>
      <c r="X20" s="244"/>
      <c r="Y20" s="244"/>
      <c r="Z20" s="244"/>
      <c r="AA20" s="244"/>
      <c r="AB20" s="244"/>
      <c r="AC20" s="244"/>
      <c r="AD20" s="244"/>
      <c r="AE20" s="244"/>
      <c r="AF20" s="244"/>
      <c r="AG20" s="244"/>
      <c r="AH20" s="244"/>
      <c r="AI20" s="244"/>
      <c r="AJ20" s="244"/>
      <c r="AK20" s="244"/>
      <c r="AL20" s="12"/>
      <c r="AN20" s="5"/>
      <c r="AO20" s="5"/>
      <c r="AP20" s="5"/>
      <c r="AQ20" s="5"/>
      <c r="AR20" s="5"/>
      <c r="AS20" s="5"/>
    </row>
    <row r="21" spans="1:45" ht="24.95" customHeight="1">
      <c r="A21" s="12"/>
      <c r="B21" s="81"/>
      <c r="C21" s="236" t="str">
        <f>IF('SE Manifest'!H19="","",'SE Manifest'!H19)</f>
        <v/>
      </c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94"/>
      <c r="T21" s="85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86"/>
      <c r="AL21" s="12"/>
      <c r="AN21" s="5"/>
      <c r="AO21" s="5"/>
      <c r="AP21" s="5"/>
      <c r="AQ21" s="5"/>
      <c r="AR21" s="5"/>
      <c r="AS21" s="5"/>
    </row>
    <row r="22" spans="1:45" ht="24.95" customHeight="1">
      <c r="A22" s="12"/>
      <c r="B22" s="81"/>
      <c r="C22" s="236" t="str">
        <f>IF('SE Manifest'!H20="","",'SE Manifest'!H20)</f>
        <v/>
      </c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94"/>
      <c r="T22" s="85"/>
      <c r="U22" s="239"/>
      <c r="V22" s="239"/>
      <c r="W22" s="239"/>
      <c r="X22" s="239"/>
      <c r="Y22" s="239"/>
      <c r="Z22" s="239"/>
      <c r="AA22" s="239"/>
      <c r="AB22" s="239"/>
      <c r="AC22" s="239"/>
      <c r="AD22" s="239"/>
      <c r="AE22" s="239"/>
      <c r="AF22" s="239"/>
      <c r="AG22" s="239"/>
      <c r="AH22" s="239"/>
      <c r="AI22" s="239"/>
      <c r="AJ22" s="239"/>
      <c r="AK22" s="86"/>
      <c r="AL22" s="12"/>
      <c r="AN22" s="5"/>
      <c r="AO22" s="5"/>
      <c r="AP22" s="5"/>
      <c r="AQ22" s="5"/>
      <c r="AR22" s="5"/>
      <c r="AS22" s="5"/>
    </row>
    <row r="23" spans="1:45" ht="24.95" customHeight="1" thickBot="1">
      <c r="A23" s="12"/>
      <c r="B23" s="81"/>
      <c r="C23" s="236" t="str">
        <f>IF('SE Manifest'!H21="","",'SE Manifest'!H21)</f>
        <v/>
      </c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94"/>
      <c r="T23" s="85"/>
      <c r="U23" s="239"/>
      <c r="V23" s="239"/>
      <c r="W23" s="239"/>
      <c r="X23" s="239"/>
      <c r="Y23" s="239"/>
      <c r="Z23" s="239"/>
      <c r="AA23" s="239"/>
      <c r="AB23" s="239"/>
      <c r="AC23" s="239"/>
      <c r="AD23" s="239"/>
      <c r="AE23" s="239"/>
      <c r="AF23" s="239"/>
      <c r="AG23" s="239"/>
      <c r="AH23" s="239"/>
      <c r="AI23" s="239"/>
      <c r="AJ23" s="239"/>
      <c r="AK23" s="86"/>
      <c r="AL23" s="12"/>
      <c r="AN23" s="5"/>
      <c r="AO23" s="5"/>
      <c r="AP23" s="5"/>
      <c r="AQ23" s="5"/>
      <c r="AR23" s="5"/>
      <c r="AS23" s="5"/>
    </row>
    <row r="24" spans="1:45" ht="24.95" customHeight="1">
      <c r="A24" s="12"/>
      <c r="B24" s="81"/>
      <c r="C24" s="236" t="str">
        <f>IF('SE Manifest'!H22="","",'SE Manifest'!H22)</f>
        <v/>
      </c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94"/>
      <c r="T24" s="243" t="s">
        <v>286</v>
      </c>
      <c r="U24" s="244"/>
      <c r="V24" s="244"/>
      <c r="W24" s="244"/>
      <c r="X24" s="244"/>
      <c r="Y24" s="244"/>
      <c r="Z24" s="244"/>
      <c r="AA24" s="244"/>
      <c r="AB24" s="244"/>
      <c r="AC24" s="244"/>
      <c r="AD24" s="244"/>
      <c r="AE24" s="244"/>
      <c r="AF24" s="244"/>
      <c r="AG24" s="244"/>
      <c r="AH24" s="244"/>
      <c r="AI24" s="244"/>
      <c r="AJ24" s="244"/>
      <c r="AK24" s="244"/>
      <c r="AL24" s="12"/>
      <c r="AN24" s="5"/>
      <c r="AO24" s="5"/>
      <c r="AP24" s="5"/>
      <c r="AQ24" s="5"/>
      <c r="AR24" s="5"/>
      <c r="AS24" s="5"/>
    </row>
    <row r="25" spans="1:45" ht="24.95" customHeight="1" thickBot="1">
      <c r="A25" s="12"/>
      <c r="B25" s="90"/>
      <c r="C25" s="241" t="str">
        <f>IF('SE Manifest'!H23="","",'SE Manifest'!H23)</f>
        <v/>
      </c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95"/>
      <c r="T25" s="96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92"/>
      <c r="AL25" s="12"/>
      <c r="AN25" s="5"/>
      <c r="AO25" s="5"/>
      <c r="AP25" s="5"/>
      <c r="AQ25" s="5"/>
      <c r="AR25" s="5"/>
      <c r="AS25" s="5"/>
    </row>
    <row r="26" spans="1:45" ht="24.95" customHeight="1">
      <c r="A26" s="12"/>
      <c r="B26" s="76" t="s">
        <v>287</v>
      </c>
      <c r="C26" s="77"/>
      <c r="D26" s="77"/>
      <c r="E26" s="77"/>
      <c r="F26" s="77"/>
      <c r="G26" s="77"/>
      <c r="H26" s="77"/>
      <c r="I26" s="77"/>
      <c r="J26" s="97"/>
      <c r="K26" s="97"/>
      <c r="L26" s="97"/>
      <c r="M26" s="97"/>
      <c r="N26" s="97"/>
      <c r="O26" s="97"/>
      <c r="P26" s="97"/>
      <c r="Q26" s="97"/>
      <c r="R26" s="97"/>
      <c r="S26" s="93"/>
      <c r="T26" s="243" t="s">
        <v>309</v>
      </c>
      <c r="U26" s="244"/>
      <c r="V26" s="244"/>
      <c r="W26" s="244"/>
      <c r="X26" s="244"/>
      <c r="Y26" s="244"/>
      <c r="Z26" s="244"/>
      <c r="AA26" s="244"/>
      <c r="AB26" s="244"/>
      <c r="AC26" s="244"/>
      <c r="AD26" s="244"/>
      <c r="AE26" s="244"/>
      <c r="AF26" s="244"/>
      <c r="AG26" s="244"/>
      <c r="AH26" s="244"/>
      <c r="AI26" s="244"/>
      <c r="AJ26" s="244"/>
      <c r="AK26" s="244"/>
      <c r="AL26" s="12"/>
      <c r="AN26" s="5"/>
      <c r="AO26" s="5"/>
      <c r="AP26" s="5"/>
      <c r="AQ26" s="5"/>
      <c r="AR26" s="5"/>
      <c r="AS26" s="5"/>
    </row>
    <row r="27" spans="1:45" ht="24.95" customHeight="1">
      <c r="A27" s="12"/>
      <c r="B27" s="81"/>
      <c r="C27" s="238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94"/>
      <c r="T27" s="85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39"/>
      <c r="AF27" s="239"/>
      <c r="AG27" s="239"/>
      <c r="AH27" s="239"/>
      <c r="AI27" s="239"/>
      <c r="AJ27" s="239"/>
      <c r="AK27" s="98"/>
      <c r="AL27" s="12"/>
      <c r="AN27" s="5"/>
      <c r="AO27" s="5"/>
      <c r="AP27" s="5"/>
      <c r="AQ27" s="5"/>
      <c r="AR27" s="5"/>
      <c r="AS27" s="5"/>
    </row>
    <row r="28" spans="1:45" ht="24.95" customHeight="1">
      <c r="A28" s="12"/>
      <c r="B28" s="81"/>
      <c r="C28" s="238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94"/>
      <c r="T28" s="85"/>
      <c r="U28" s="239"/>
      <c r="V28" s="239"/>
      <c r="W28" s="239"/>
      <c r="X28" s="239"/>
      <c r="Y28" s="239"/>
      <c r="Z28" s="239"/>
      <c r="AA28" s="239"/>
      <c r="AB28" s="239"/>
      <c r="AC28" s="239"/>
      <c r="AD28" s="239"/>
      <c r="AE28" s="239"/>
      <c r="AF28" s="239"/>
      <c r="AG28" s="239"/>
      <c r="AH28" s="239"/>
      <c r="AI28" s="239"/>
      <c r="AJ28" s="239"/>
      <c r="AK28" s="98"/>
      <c r="AL28" s="12"/>
      <c r="AN28" s="5"/>
      <c r="AO28" s="5"/>
      <c r="AP28" s="5"/>
      <c r="AQ28" s="5"/>
      <c r="AR28" s="5"/>
      <c r="AS28" s="5"/>
    </row>
    <row r="29" spans="1:45" ht="24.95" customHeight="1">
      <c r="A29" s="12"/>
      <c r="B29" s="81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94"/>
      <c r="T29" s="85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  <c r="AG29" s="239"/>
      <c r="AH29" s="239"/>
      <c r="AI29" s="239"/>
      <c r="AJ29" s="239"/>
      <c r="AK29" s="98"/>
      <c r="AL29" s="12"/>
      <c r="AN29" s="5"/>
      <c r="AO29" s="5"/>
      <c r="AP29" s="5"/>
      <c r="AQ29" s="5"/>
      <c r="AR29" s="5"/>
      <c r="AS29" s="5"/>
    </row>
    <row r="30" spans="1:45" ht="24.95" customHeight="1">
      <c r="A30" s="12"/>
      <c r="B30" s="81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94"/>
      <c r="T30" s="85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98"/>
      <c r="AL30" s="12"/>
      <c r="AN30" s="5"/>
      <c r="AO30" s="5"/>
      <c r="AP30" s="5"/>
      <c r="AQ30" s="5"/>
      <c r="AR30" s="5"/>
      <c r="AS30" s="5"/>
    </row>
    <row r="31" spans="1:45" ht="24.95" customHeight="1" thickBot="1">
      <c r="A31" s="12"/>
      <c r="B31" s="9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95"/>
      <c r="T31" s="85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98"/>
      <c r="AL31" s="12"/>
      <c r="AN31" s="5"/>
      <c r="AO31" s="5"/>
      <c r="AP31" s="5"/>
      <c r="AQ31" s="5"/>
      <c r="AR31" s="5"/>
      <c r="AS31" s="5"/>
    </row>
    <row r="32" spans="1:45" ht="24.95" customHeight="1" thickBot="1">
      <c r="A32" s="12"/>
      <c r="B32" s="99" t="s">
        <v>288</v>
      </c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96"/>
      <c r="U32" s="234"/>
      <c r="V32" s="234"/>
      <c r="W32" s="234"/>
      <c r="X32" s="234"/>
      <c r="Y32" s="234"/>
      <c r="Z32" s="234"/>
      <c r="AA32" s="234"/>
      <c r="AB32" s="234"/>
      <c r="AC32" s="234"/>
      <c r="AD32" s="234"/>
      <c r="AE32" s="234"/>
      <c r="AF32" s="234"/>
      <c r="AG32" s="234"/>
      <c r="AH32" s="234"/>
      <c r="AI32" s="234"/>
      <c r="AJ32" s="234"/>
      <c r="AK32" s="101"/>
      <c r="AL32" s="12"/>
      <c r="AN32" s="5"/>
      <c r="AO32" s="5"/>
      <c r="AP32" s="5"/>
      <c r="AQ32" s="5"/>
      <c r="AR32" s="5"/>
      <c r="AS32" s="5"/>
    </row>
    <row r="33" spans="1:39" ht="24.95" customHeight="1" thickBot="1">
      <c r="A33" s="12"/>
      <c r="B33" s="90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88"/>
      <c r="T33" s="118" t="s">
        <v>298</v>
      </c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2"/>
    </row>
    <row r="34" spans="1:39" ht="24.95" customHeight="1">
      <c r="A34" s="12"/>
      <c r="B34" s="76" t="s">
        <v>297</v>
      </c>
      <c r="C34" s="103"/>
      <c r="D34" s="103"/>
      <c r="E34" s="103"/>
      <c r="F34" s="103"/>
      <c r="G34" s="103"/>
      <c r="H34" s="103"/>
      <c r="I34" s="104"/>
      <c r="J34" s="78" t="s">
        <v>289</v>
      </c>
      <c r="K34" s="103"/>
      <c r="L34" s="103"/>
      <c r="M34" s="103"/>
      <c r="N34" s="103"/>
      <c r="O34" s="103"/>
      <c r="P34" s="103"/>
      <c r="Q34" s="103"/>
      <c r="R34" s="103"/>
      <c r="S34" s="103"/>
      <c r="T34" s="144"/>
      <c r="U34" s="236" t="str">
        <f>IF('SE Manifest'!J9="","","File Ref: "&amp;UPPER('SE Manifest'!J9))</f>
        <v/>
      </c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105"/>
      <c r="AL34" s="12"/>
    </row>
    <row r="35" spans="1:39" ht="24.95" customHeight="1" thickBot="1">
      <c r="A35" s="12"/>
      <c r="B35" s="90"/>
      <c r="C35" s="226" t="str">
        <f>IF('SE Manifest'!B9="","",UPPER('SE Manifest'!B9)&amp;" / "&amp;UPPER('SE Manifest'!F9))</f>
        <v/>
      </c>
      <c r="D35" s="226"/>
      <c r="E35" s="226"/>
      <c r="F35" s="226"/>
      <c r="G35" s="226"/>
      <c r="H35" s="226"/>
      <c r="I35" s="227"/>
      <c r="J35" s="228" t="str">
        <f>IF('SE Manifest'!B11="","",UPPER('SE Manifest'!B11))</f>
        <v/>
      </c>
      <c r="K35" s="226"/>
      <c r="L35" s="226"/>
      <c r="M35" s="226"/>
      <c r="N35" s="226"/>
      <c r="O35" s="226"/>
      <c r="P35" s="226"/>
      <c r="Q35" s="226"/>
      <c r="R35" s="226"/>
      <c r="S35" s="226"/>
      <c r="T35" s="106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107"/>
      <c r="AL35" s="12"/>
    </row>
    <row r="36" spans="1:39" ht="24.95" customHeight="1">
      <c r="A36" s="12"/>
      <c r="B36" s="76" t="s">
        <v>290</v>
      </c>
      <c r="C36" s="103"/>
      <c r="D36" s="103"/>
      <c r="E36" s="103"/>
      <c r="F36" s="103"/>
      <c r="G36" s="103"/>
      <c r="H36" s="103"/>
      <c r="I36" s="104"/>
      <c r="J36" s="78" t="s">
        <v>291</v>
      </c>
      <c r="K36" s="103"/>
      <c r="L36" s="103"/>
      <c r="M36" s="103"/>
      <c r="N36" s="103"/>
      <c r="O36" s="103"/>
      <c r="P36" s="103"/>
      <c r="Q36" s="103"/>
      <c r="R36" s="103"/>
      <c r="S36" s="103"/>
      <c r="T36" s="108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86"/>
      <c r="AL36" s="12"/>
    </row>
    <row r="37" spans="1:39" ht="24.95" customHeight="1" thickBot="1">
      <c r="A37" s="12"/>
      <c r="B37" s="90"/>
      <c r="C37" s="226" t="str">
        <f>IF('SE Manifest'!B13="","",UPPER('SE Manifest'!B13))</f>
        <v/>
      </c>
      <c r="D37" s="226"/>
      <c r="E37" s="226"/>
      <c r="F37" s="226"/>
      <c r="G37" s="226"/>
      <c r="H37" s="226"/>
      <c r="I37" s="227"/>
      <c r="J37" s="229"/>
      <c r="K37" s="230"/>
      <c r="L37" s="230"/>
      <c r="M37" s="230"/>
      <c r="N37" s="230"/>
      <c r="O37" s="230"/>
      <c r="P37" s="230"/>
      <c r="Q37" s="230"/>
      <c r="R37" s="230"/>
      <c r="S37" s="230"/>
      <c r="T37" s="231"/>
      <c r="U37" s="232"/>
      <c r="V37" s="232"/>
      <c r="W37" s="232"/>
      <c r="X37" s="232"/>
      <c r="Y37" s="232"/>
      <c r="Z37" s="233"/>
      <c r="AA37" s="233"/>
      <c r="AB37" s="233"/>
      <c r="AC37" s="233"/>
      <c r="AD37" s="233"/>
      <c r="AE37" s="233"/>
      <c r="AF37" s="233"/>
      <c r="AG37" s="233"/>
      <c r="AH37" s="233"/>
      <c r="AI37" s="233"/>
      <c r="AJ37" s="233"/>
      <c r="AK37" s="92"/>
      <c r="AL37" s="12"/>
    </row>
    <row r="38" spans="1:39" ht="35.1" customHeight="1">
      <c r="A38" s="12"/>
      <c r="B38" s="218" t="s">
        <v>292</v>
      </c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12"/>
    </row>
    <row r="39" spans="1:39" ht="15" customHeight="1" thickBot="1">
      <c r="A39" s="12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219"/>
      <c r="AB39" s="219"/>
      <c r="AC39" s="220"/>
      <c r="AD39" s="220"/>
      <c r="AE39" s="220"/>
      <c r="AF39" s="220"/>
      <c r="AG39" s="109"/>
      <c r="AH39" s="109"/>
      <c r="AI39" s="110"/>
      <c r="AJ39" s="110"/>
      <c r="AK39" s="110"/>
      <c r="AL39" s="12"/>
    </row>
    <row r="40" spans="1:39" ht="24.95" customHeight="1">
      <c r="A40" s="12"/>
      <c r="B40" s="221" t="s">
        <v>299</v>
      </c>
      <c r="C40" s="222"/>
      <c r="D40" s="222"/>
      <c r="E40" s="222"/>
      <c r="F40" s="223"/>
      <c r="G40" s="224" t="s">
        <v>300</v>
      </c>
      <c r="H40" s="222"/>
      <c r="I40" s="222"/>
      <c r="J40" s="222"/>
      <c r="K40" s="223"/>
      <c r="L40" s="224" t="s">
        <v>301</v>
      </c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5"/>
      <c r="AE40" s="224" t="s">
        <v>302</v>
      </c>
      <c r="AF40" s="222"/>
      <c r="AG40" s="222"/>
      <c r="AH40" s="223"/>
      <c r="AI40" s="224" t="s">
        <v>303</v>
      </c>
      <c r="AJ40" s="222"/>
      <c r="AK40" s="225"/>
      <c r="AL40" s="12"/>
      <c r="AM40" s="5"/>
    </row>
    <row r="41" spans="1:39" ht="129.94999999999999" customHeight="1">
      <c r="A41" s="12"/>
      <c r="B41" s="121"/>
      <c r="C41" s="213" t="str">
        <f ca="1">IF(OFFSET('SE Manifest'!$A$30,(ROW(C1)-1)*3,0)="","",OFFSET('SE Manifest'!$A$30,(ROW(C1)-1)*3,0))</f>
        <v/>
      </c>
      <c r="D41" s="213"/>
      <c r="E41" s="213"/>
      <c r="F41" s="122"/>
      <c r="G41" s="123"/>
      <c r="H41" s="145" t="str">
        <f ca="1">IF(OFFSET('SE Manifest'!$C$29,(ROW(H1)-1)*3,0)="","",OFFSET('SE Manifest'!$C$29,(ROW(H1)-1)*3,0))</f>
        <v/>
      </c>
      <c r="I41" s="124" t="str">
        <f ca="1">IF(H41="","","X")</f>
        <v/>
      </c>
      <c r="J41" s="145" t="str">
        <f ca="1">IF(OFFSET('SE Manifest'!$D$29,(ROW(J1)-1)*3,0)="","",OFFSET('SE Manifest'!$D$29,(ROW(J1)-1)*3,0))</f>
        <v/>
      </c>
      <c r="K41" s="122"/>
      <c r="L41" s="123"/>
      <c r="M41" s="213" t="str">
        <f ca="1">IF(OFFSET('SE Manifest'!$E$29,(ROW(M1)-1)*3,0)="","",OFFSET('SE Manifest'!$E$29,(ROW(M1)-1)*3,0)&amp;CHAR(10)&amp;OFFSET('SE Manifest'!$E$30,(ROW(M1)-1)*3,0)&amp;CHAR(10)&amp;OFFSET('SE Manifest'!$E$31,(ROW(M1)-1)*3,0))</f>
        <v/>
      </c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213"/>
      <c r="AA41" s="213"/>
      <c r="AB41" s="213"/>
      <c r="AC41" s="213"/>
      <c r="AD41" s="213"/>
      <c r="AE41" s="214" t="str">
        <f ca="1">IF(OFFSET('SE Manifest'!$L$29,(ROW(AE1)-1)*3,0)="","",IF('SE Manifest'!$G$25="METRIC",FIXED(OFFSET('SE Manifest'!$L$29,(ROW(AE1)-1)*3,0),3)&amp;CHAR(10)&amp;FIXED(SUM(OFFSET('SE Manifest'!$L$29,(ROW(AE1)-1)*3,0)*2.20462),3),FIXED(OFFSET('SE Manifest'!$L$29,(ROW(AE1)-1)*3,0),3)&amp;CHAR(10)&amp;FIXED(SUM(OFFSET('SE Manifest'!$L$29,(ROW(AE1)-1)*3,0)*0.453592),3)))</f>
        <v/>
      </c>
      <c r="AF41" s="215"/>
      <c r="AG41" s="215"/>
      <c r="AH41" s="146" t="str">
        <f ca="1">IF(OFFSET('SE Manifest'!$L$29,(ROW(AE1)-1)*3,0)="","",IF('SE Manifest'!$G$25="","",IF('SE Manifest'!$G$25="METRIC","KG"&amp;CHAR(10)&amp;"LBS","LBS"&amp;CHAR(10)&amp;"KG")))</f>
        <v/>
      </c>
      <c r="AI41" s="216" t="str">
        <f ca="1">IF(OFFSET('SE Manifest'!$N$29,(ROW(AI1)-1)*3,0)="","",IF('SE Manifest'!$G$25="METRIC",FIXED(OFFSET('SE Manifest'!$N$29,(ROW(AI1)-1)*3,0),4)&amp;CHAR(10)&amp;FIXED(SUM(OFFSET('SE Manifest'!$N$29,(ROW(AI1)-1)*3,0)*35.3147),4),FIXED(OFFSET('SE Manifest'!$N$29,(ROW(AI1)-1)*3,0),4)&amp;CHAR(10)&amp;FIXED(SUM(OFFSET('SE Manifest'!$N$29,(ROW(AI1)-1)*3,0)*0.0283168),4)))</f>
        <v/>
      </c>
      <c r="AJ41" s="217"/>
      <c r="AK41" s="147" t="str">
        <f ca="1">IF(OFFSET('SE Manifest'!$N$29,(ROW(AI1)-1)*3,0)="","",IF('SE Manifest'!$G$25="","",IF('SE Manifest'!$G$25="METRIC","CBM"&amp;CHAR(10)&amp;"CFT","CFT"&amp;CHAR(10)&amp;"CBM")))</f>
        <v/>
      </c>
      <c r="AL41" s="12"/>
      <c r="AM41" s="5"/>
    </row>
    <row r="42" spans="1:39" ht="129.94999999999999" customHeight="1">
      <c r="A42" s="12"/>
      <c r="B42" s="121"/>
      <c r="C42" s="213" t="str">
        <f ca="1">IF(OFFSET('SE Manifest'!$A$30,(ROW(C2)-1)*3,0)="","",OFFSET('SE Manifest'!$A$30,(ROW(C2)-1)*3,0))</f>
        <v/>
      </c>
      <c r="D42" s="213"/>
      <c r="E42" s="213"/>
      <c r="F42" s="122"/>
      <c r="G42" s="123"/>
      <c r="H42" s="145" t="str">
        <f ca="1">IF(OFFSET('SE Manifest'!$C$29,(ROW(H2)-1)*3,0)="","",OFFSET('SE Manifest'!$C$29,(ROW(H2)-1)*3,0))</f>
        <v/>
      </c>
      <c r="I42" s="124" t="str">
        <f t="shared" ref="I42:I90" ca="1" si="0">IF(H42="","","X")</f>
        <v/>
      </c>
      <c r="J42" s="145" t="str">
        <f ca="1">IF(OFFSET('SE Manifest'!$D$29,(ROW(J2)-1)*3,0)="","",OFFSET('SE Manifest'!$D$29,(ROW(J2)-1)*3,0))</f>
        <v/>
      </c>
      <c r="K42" s="122"/>
      <c r="L42" s="123"/>
      <c r="M42" s="213" t="str">
        <f ca="1">IF(OFFSET('SE Manifest'!$E$29,(ROW(M2)-1)*3,0)="","",OFFSET('SE Manifest'!$E$29,(ROW(M2)-1)*3,0)&amp;CHAR(10)&amp;OFFSET('SE Manifest'!$E$30,(ROW(M2)-1)*3,0)&amp;CHAR(10)&amp;OFFSET('SE Manifest'!$E$31,(ROW(M2)-1)*3,0))</f>
        <v/>
      </c>
      <c r="N42" s="213"/>
      <c r="O42" s="213"/>
      <c r="P42" s="213"/>
      <c r="Q42" s="213"/>
      <c r="R42" s="213"/>
      <c r="S42" s="213"/>
      <c r="T42" s="213"/>
      <c r="U42" s="213"/>
      <c r="V42" s="213"/>
      <c r="W42" s="213"/>
      <c r="X42" s="213"/>
      <c r="Y42" s="213"/>
      <c r="Z42" s="213"/>
      <c r="AA42" s="213"/>
      <c r="AB42" s="213"/>
      <c r="AC42" s="213"/>
      <c r="AD42" s="213"/>
      <c r="AE42" s="214" t="str">
        <f ca="1">IF(OFFSET('SE Manifest'!$L$29,(ROW(AE2)-1)*3,0)="","",IF('SE Manifest'!$G$25="METRIC",FIXED(OFFSET('SE Manifest'!$L$29,(ROW(AE2)-1)*3,0),3)&amp;CHAR(10)&amp;FIXED(SUM(OFFSET('SE Manifest'!$L$29,(ROW(AE2)-1)*3,0)*2.20462),3),FIXED(OFFSET('SE Manifest'!$L$29,(ROW(AE2)-1)*3,0),3)&amp;CHAR(10)&amp;FIXED(SUM(OFFSET('SE Manifest'!$L$29,(ROW(AE2)-1)*3,0)*0.453592),3)))</f>
        <v/>
      </c>
      <c r="AF42" s="215"/>
      <c r="AG42" s="215"/>
      <c r="AH42" s="146" t="str">
        <f ca="1">IF(OFFSET('SE Manifest'!$L$29,(ROW(AE2)-1)*3,0)="","",IF('SE Manifest'!$G$25="","",IF('SE Manifest'!$G$25="METRIC","KG"&amp;CHAR(10)&amp;"LBS","LBS"&amp;CHAR(10)&amp;"KG")))</f>
        <v/>
      </c>
      <c r="AI42" s="216" t="str">
        <f ca="1">IF(OFFSET('SE Manifest'!$N$29,(ROW(AI2)-1)*3,0)="","",IF('SE Manifest'!$G$25="METRIC",FIXED(OFFSET('SE Manifest'!$N$29,(ROW(AI2)-1)*3,0),4)&amp;CHAR(10)&amp;FIXED(SUM(OFFSET('SE Manifest'!$N$29,(ROW(AI2)-1)*3,0)*35.3147),4),FIXED(OFFSET('SE Manifest'!$N$29,(ROW(AI2)-1)*3,0),4)&amp;CHAR(10)&amp;FIXED(SUM(OFFSET('SE Manifest'!$N$29,(ROW(AI2)-1)*3,0)*0.0283168),4)))</f>
        <v/>
      </c>
      <c r="AJ42" s="217"/>
      <c r="AK42" s="147" t="str">
        <f ca="1">IF(OFFSET('SE Manifest'!$N$29,(ROW(AI2)-1)*3,0)="","",IF('SE Manifest'!$G$25="","",IF('SE Manifest'!$G$25="METRIC","CBM"&amp;CHAR(10)&amp;"CFT","CFT"&amp;CHAR(10)&amp;"CBM")))</f>
        <v/>
      </c>
      <c r="AL42" s="12"/>
      <c r="AM42" s="5"/>
    </row>
    <row r="43" spans="1:39" ht="129.94999999999999" customHeight="1">
      <c r="A43" s="12"/>
      <c r="B43" s="121"/>
      <c r="C43" s="213" t="str">
        <f ca="1">IF(OFFSET('SE Manifest'!$A$30,(ROW(C3)-1)*3,0)="","",OFFSET('SE Manifest'!$A$30,(ROW(C3)-1)*3,0))</f>
        <v/>
      </c>
      <c r="D43" s="213"/>
      <c r="E43" s="213"/>
      <c r="F43" s="122"/>
      <c r="G43" s="123"/>
      <c r="H43" s="145" t="str">
        <f ca="1">IF(OFFSET('SE Manifest'!$C$29,(ROW(H3)-1)*3,0)="","",OFFSET('SE Manifest'!$C$29,(ROW(H3)-1)*3,0))</f>
        <v/>
      </c>
      <c r="I43" s="124" t="str">
        <f t="shared" ca="1" si="0"/>
        <v/>
      </c>
      <c r="J43" s="145" t="str">
        <f ca="1">IF(OFFSET('SE Manifest'!$D$29,(ROW(J3)-1)*3,0)="","",OFFSET('SE Manifest'!$D$29,(ROW(J3)-1)*3,0))</f>
        <v/>
      </c>
      <c r="K43" s="122"/>
      <c r="L43" s="123"/>
      <c r="M43" s="213" t="str">
        <f ca="1">IF(OFFSET('SE Manifest'!$E$29,(ROW(M3)-1)*3,0)="","",OFFSET('SE Manifest'!$E$29,(ROW(M3)-1)*3,0)&amp;CHAR(10)&amp;OFFSET('SE Manifest'!$E$30,(ROW(M3)-1)*3,0)&amp;CHAR(10)&amp;OFFSET('SE Manifest'!$E$31,(ROW(M3)-1)*3,0))</f>
        <v/>
      </c>
      <c r="N43" s="213"/>
      <c r="O43" s="213"/>
      <c r="P43" s="213"/>
      <c r="Q43" s="213"/>
      <c r="R43" s="213"/>
      <c r="S43" s="213"/>
      <c r="T43" s="213"/>
      <c r="U43" s="213"/>
      <c r="V43" s="213"/>
      <c r="W43" s="213"/>
      <c r="X43" s="213"/>
      <c r="Y43" s="213"/>
      <c r="Z43" s="213"/>
      <c r="AA43" s="213"/>
      <c r="AB43" s="213"/>
      <c r="AC43" s="213"/>
      <c r="AD43" s="213"/>
      <c r="AE43" s="214" t="str">
        <f ca="1">IF(OFFSET('SE Manifest'!$L$29,(ROW(AE3)-1)*3,0)="","",IF('SE Manifest'!$G$25="METRIC",FIXED(OFFSET('SE Manifest'!$L$29,(ROW(AE3)-1)*3,0),3)&amp;CHAR(10)&amp;FIXED(SUM(OFFSET('SE Manifest'!$L$29,(ROW(AE3)-1)*3,0)*2.20462),3),FIXED(OFFSET('SE Manifest'!$L$29,(ROW(AE3)-1)*3,0),3)&amp;CHAR(10)&amp;FIXED(SUM(OFFSET('SE Manifest'!$L$29,(ROW(AE3)-1)*3,0)*0.453592),3)))</f>
        <v/>
      </c>
      <c r="AF43" s="215"/>
      <c r="AG43" s="215"/>
      <c r="AH43" s="146" t="str">
        <f ca="1">IF(OFFSET('SE Manifest'!$L$29,(ROW(AE3)-1)*3,0)="","",IF('SE Manifest'!$G$25="","",IF('SE Manifest'!$G$25="METRIC","KG"&amp;CHAR(10)&amp;"LBS","LBS"&amp;CHAR(10)&amp;"KG")))</f>
        <v/>
      </c>
      <c r="AI43" s="216" t="str">
        <f ca="1">IF(OFFSET('SE Manifest'!$N$29,(ROW(AI3)-1)*3,0)="","",IF('SE Manifest'!$G$25="METRIC",FIXED(OFFSET('SE Manifest'!$N$29,(ROW(AI3)-1)*3,0),4)&amp;CHAR(10)&amp;FIXED(SUM(OFFSET('SE Manifest'!$N$29,(ROW(AI3)-1)*3,0)*35.3147),4),FIXED(OFFSET('SE Manifest'!$N$29,(ROW(AI3)-1)*3,0),4)&amp;CHAR(10)&amp;FIXED(SUM(OFFSET('SE Manifest'!$N$29,(ROW(AI3)-1)*3,0)*0.0283168),4)))</f>
        <v/>
      </c>
      <c r="AJ43" s="217"/>
      <c r="AK43" s="147" t="str">
        <f ca="1">IF(OFFSET('SE Manifest'!$N$29,(ROW(AI3)-1)*3,0)="","",IF('SE Manifest'!$G$25="","",IF('SE Manifest'!$G$25="METRIC","CBM"&amp;CHAR(10)&amp;"CFT","CFT"&amp;CHAR(10)&amp;"CBM")))</f>
        <v/>
      </c>
      <c r="AL43" s="12"/>
      <c r="AM43" s="5"/>
    </row>
    <row r="44" spans="1:39" ht="129.94999999999999" customHeight="1">
      <c r="A44" s="12"/>
      <c r="B44" s="121"/>
      <c r="C44" s="213" t="str">
        <f ca="1">IF(OFFSET('SE Manifest'!$A$30,(ROW(C4)-1)*3,0)="","",OFFSET('SE Manifest'!$A$30,(ROW(C4)-1)*3,0))</f>
        <v/>
      </c>
      <c r="D44" s="213"/>
      <c r="E44" s="213"/>
      <c r="F44" s="122"/>
      <c r="G44" s="123"/>
      <c r="H44" s="145" t="str">
        <f ca="1">IF(OFFSET('SE Manifest'!$C$29,(ROW(H4)-1)*3,0)="","",OFFSET('SE Manifest'!$C$29,(ROW(H4)-1)*3,0))</f>
        <v/>
      </c>
      <c r="I44" s="124" t="str">
        <f t="shared" ca="1" si="0"/>
        <v/>
      </c>
      <c r="J44" s="145" t="str">
        <f ca="1">IF(OFFSET('SE Manifest'!$D$29,(ROW(J4)-1)*3,0)="","",OFFSET('SE Manifest'!$D$29,(ROW(J4)-1)*3,0))</f>
        <v/>
      </c>
      <c r="K44" s="122"/>
      <c r="L44" s="123"/>
      <c r="M44" s="213" t="str">
        <f ca="1">IF(OFFSET('SE Manifest'!$E$29,(ROW(M4)-1)*3,0)="","",OFFSET('SE Manifest'!$E$29,(ROW(M4)-1)*3,0)&amp;CHAR(10)&amp;OFFSET('SE Manifest'!$E$30,(ROW(M4)-1)*3,0)&amp;CHAR(10)&amp;OFFSET('SE Manifest'!$E$31,(ROW(M4)-1)*3,0))</f>
        <v/>
      </c>
      <c r="N44" s="213"/>
      <c r="O44" s="213"/>
      <c r="P44" s="213"/>
      <c r="Q44" s="213"/>
      <c r="R44" s="213"/>
      <c r="S44" s="213"/>
      <c r="T44" s="213"/>
      <c r="U44" s="213"/>
      <c r="V44" s="213"/>
      <c r="W44" s="213"/>
      <c r="X44" s="213"/>
      <c r="Y44" s="213"/>
      <c r="Z44" s="213"/>
      <c r="AA44" s="213"/>
      <c r="AB44" s="213"/>
      <c r="AC44" s="213"/>
      <c r="AD44" s="213"/>
      <c r="AE44" s="214" t="str">
        <f ca="1">IF(OFFSET('SE Manifest'!$L$29,(ROW(AE4)-1)*3,0)="","",IF('SE Manifest'!$G$25="METRIC",FIXED(OFFSET('SE Manifest'!$L$29,(ROW(AE4)-1)*3,0),3)&amp;CHAR(10)&amp;FIXED(SUM(OFFSET('SE Manifest'!$L$29,(ROW(AE4)-1)*3,0)*2.20462),3),FIXED(OFFSET('SE Manifest'!$L$29,(ROW(AE4)-1)*3,0),3)&amp;CHAR(10)&amp;FIXED(SUM(OFFSET('SE Manifest'!$L$29,(ROW(AE4)-1)*3,0)*0.453592),3)))</f>
        <v/>
      </c>
      <c r="AF44" s="215"/>
      <c r="AG44" s="215"/>
      <c r="AH44" s="146" t="str">
        <f ca="1">IF(OFFSET('SE Manifest'!$L$29,(ROW(AE4)-1)*3,0)="","",IF('SE Manifest'!$G$25="","",IF('SE Manifest'!$G$25="METRIC","KG"&amp;CHAR(10)&amp;"LBS","LBS"&amp;CHAR(10)&amp;"KG")))</f>
        <v/>
      </c>
      <c r="AI44" s="216" t="str">
        <f ca="1">IF(OFFSET('SE Manifest'!$N$29,(ROW(AI4)-1)*3,0)="","",IF('SE Manifest'!$G$25="METRIC",FIXED(OFFSET('SE Manifest'!$N$29,(ROW(AI4)-1)*3,0),4)&amp;CHAR(10)&amp;FIXED(SUM(OFFSET('SE Manifest'!$N$29,(ROW(AI4)-1)*3,0)*35.3147),4),FIXED(OFFSET('SE Manifest'!$N$29,(ROW(AI4)-1)*3,0),4)&amp;CHAR(10)&amp;FIXED(SUM(OFFSET('SE Manifest'!$N$29,(ROW(AI4)-1)*3,0)*0.0283168),4)))</f>
        <v/>
      </c>
      <c r="AJ44" s="217"/>
      <c r="AK44" s="147" t="str">
        <f ca="1">IF(OFFSET('SE Manifest'!$N$29,(ROW(AI4)-1)*3,0)="","",IF('SE Manifest'!$G$25="","",IF('SE Manifest'!$G$25="METRIC","CBM"&amp;CHAR(10)&amp;"CFT","CFT"&amp;CHAR(10)&amp;"CBM")))</f>
        <v/>
      </c>
      <c r="AL44" s="12"/>
      <c r="AM44" s="5"/>
    </row>
    <row r="45" spans="1:39" ht="129.94999999999999" hidden="1" customHeight="1">
      <c r="A45" s="12"/>
      <c r="B45" s="121"/>
      <c r="C45" s="213" t="str">
        <f ca="1">IF(OFFSET('SE Manifest'!$A$30,(ROW(C5)-1)*3,0)="","",OFFSET('SE Manifest'!$A$30,(ROW(C5)-1)*3,0))</f>
        <v/>
      </c>
      <c r="D45" s="213"/>
      <c r="E45" s="213"/>
      <c r="F45" s="122"/>
      <c r="G45" s="123"/>
      <c r="H45" s="145" t="str">
        <f ca="1">IF(OFFSET('SE Manifest'!$C$29,(ROW(H5)-1)*3,0)="","",OFFSET('SE Manifest'!$C$29,(ROW(H5)-1)*3,0))</f>
        <v/>
      </c>
      <c r="I45" s="124" t="str">
        <f t="shared" ca="1" si="0"/>
        <v/>
      </c>
      <c r="J45" s="145" t="str">
        <f ca="1">IF(OFFSET('SE Manifest'!$D$29,(ROW(J5)-1)*3,0)="","",OFFSET('SE Manifest'!$D$29,(ROW(J5)-1)*3,0))</f>
        <v/>
      </c>
      <c r="K45" s="122"/>
      <c r="L45" s="123"/>
      <c r="M45" s="213" t="str">
        <f ca="1">IF(OFFSET('SE Manifest'!$E$29,(ROW(M5)-1)*3,0)="","",OFFSET('SE Manifest'!$E$29,(ROW(M5)-1)*3,0)&amp;CHAR(10)&amp;OFFSET('SE Manifest'!$E$30,(ROW(M5)-1)*3,0)&amp;CHAR(10)&amp;OFFSET('SE Manifest'!$E$31,(ROW(M5)-1)*3,0))</f>
        <v/>
      </c>
      <c r="N45" s="213"/>
      <c r="O45" s="213"/>
      <c r="P45" s="213"/>
      <c r="Q45" s="213"/>
      <c r="R45" s="213"/>
      <c r="S45" s="213"/>
      <c r="T45" s="213"/>
      <c r="U45" s="213"/>
      <c r="V45" s="213"/>
      <c r="W45" s="213"/>
      <c r="X45" s="213"/>
      <c r="Y45" s="213"/>
      <c r="Z45" s="213"/>
      <c r="AA45" s="213"/>
      <c r="AB45" s="213"/>
      <c r="AC45" s="213"/>
      <c r="AD45" s="213"/>
      <c r="AE45" s="214" t="str">
        <f ca="1">IF(OFFSET('SE Manifest'!$L$29,(ROW(AE5)-1)*3,0)="","",IF('SE Manifest'!$G$25="METRIC",FIXED(OFFSET('SE Manifest'!$L$29,(ROW(AE5)-1)*3,0),3)&amp;CHAR(10)&amp;FIXED(SUM(OFFSET('SE Manifest'!$L$29,(ROW(AE5)-1)*3,0)*2.20462),3),FIXED(OFFSET('SE Manifest'!$L$29,(ROW(AE5)-1)*3,0),3)&amp;CHAR(10)&amp;FIXED(SUM(OFFSET('SE Manifest'!$L$29,(ROW(AE5)-1)*3,0)*0.453592),3)))</f>
        <v/>
      </c>
      <c r="AF45" s="215"/>
      <c r="AG45" s="215"/>
      <c r="AH45" s="146" t="str">
        <f ca="1">IF(OFFSET('SE Manifest'!$L$29,(ROW(AE5)-1)*3,0)="","",IF('SE Manifest'!$G$25="","",IF('SE Manifest'!$G$25="METRIC","KG"&amp;CHAR(10)&amp;"LBS","LBS"&amp;CHAR(10)&amp;"KG")))</f>
        <v/>
      </c>
      <c r="AI45" s="216" t="str">
        <f ca="1">IF(OFFSET('SE Manifest'!$N$29,(ROW(AI5)-1)*3,0)="","",IF('SE Manifest'!$G$25="METRIC",FIXED(OFFSET('SE Manifest'!$N$29,(ROW(AI5)-1)*3,0),4)&amp;CHAR(10)&amp;FIXED(SUM(OFFSET('SE Manifest'!$N$29,(ROW(AI5)-1)*3,0)*35.3147),4),FIXED(OFFSET('SE Manifest'!$N$29,(ROW(AI5)-1)*3,0),4)&amp;CHAR(10)&amp;FIXED(SUM(OFFSET('SE Manifest'!$N$29,(ROW(AI5)-1)*3,0)*0.0283168),4)))</f>
        <v/>
      </c>
      <c r="AJ45" s="217"/>
      <c r="AK45" s="147" t="str">
        <f ca="1">IF(OFFSET('SE Manifest'!$N$29,(ROW(AI5)-1)*3,0)="","",IF('SE Manifest'!$G$25="","",IF('SE Manifest'!$G$25="METRIC","CBM"&amp;CHAR(10)&amp;"CFT","CFT"&amp;CHAR(10)&amp;"CBM")))</f>
        <v/>
      </c>
      <c r="AL45" s="12"/>
      <c r="AM45" s="5"/>
    </row>
    <row r="46" spans="1:39" ht="129.94999999999999" hidden="1" customHeight="1">
      <c r="A46" s="12"/>
      <c r="B46" s="121"/>
      <c r="C46" s="213" t="str">
        <f ca="1">IF(OFFSET('SE Manifest'!$A$30,(ROW(C6)-1)*3,0)="","",OFFSET('SE Manifest'!$A$30,(ROW(C6)-1)*3,0))</f>
        <v/>
      </c>
      <c r="D46" s="213"/>
      <c r="E46" s="213"/>
      <c r="F46" s="122"/>
      <c r="G46" s="123"/>
      <c r="H46" s="145" t="str">
        <f ca="1">IF(OFFSET('SE Manifest'!$C$29,(ROW(H6)-1)*3,0)="","",OFFSET('SE Manifest'!$C$29,(ROW(H6)-1)*3,0))</f>
        <v/>
      </c>
      <c r="I46" s="124" t="str">
        <f t="shared" ca="1" si="0"/>
        <v/>
      </c>
      <c r="J46" s="145" t="str">
        <f ca="1">IF(OFFSET('SE Manifest'!$D$29,(ROW(J6)-1)*3,0)="","",OFFSET('SE Manifest'!$D$29,(ROW(J6)-1)*3,0))</f>
        <v/>
      </c>
      <c r="K46" s="122"/>
      <c r="L46" s="123"/>
      <c r="M46" s="213" t="str">
        <f ca="1">IF(OFFSET('SE Manifest'!$E$29,(ROW(M6)-1)*3,0)="","",OFFSET('SE Manifest'!$E$29,(ROW(M6)-1)*3,0)&amp;CHAR(10)&amp;OFFSET('SE Manifest'!$E$30,(ROW(M6)-1)*3,0)&amp;CHAR(10)&amp;OFFSET('SE Manifest'!$E$31,(ROW(M6)-1)*3,0))</f>
        <v/>
      </c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4" t="str">
        <f ca="1">IF(OFFSET('SE Manifest'!$L$29,(ROW(AE6)-1)*3,0)="","",IF('SE Manifest'!$G$25="METRIC",FIXED(OFFSET('SE Manifest'!$L$29,(ROW(AE6)-1)*3,0),3)&amp;CHAR(10)&amp;FIXED(SUM(OFFSET('SE Manifest'!$L$29,(ROW(AE6)-1)*3,0)*2.20462),3),FIXED(OFFSET('SE Manifest'!$L$29,(ROW(AE6)-1)*3,0),3)&amp;CHAR(10)&amp;FIXED(SUM(OFFSET('SE Manifest'!$L$29,(ROW(AE6)-1)*3,0)*0.453592),3)))</f>
        <v/>
      </c>
      <c r="AF46" s="215"/>
      <c r="AG46" s="215"/>
      <c r="AH46" s="146" t="str">
        <f ca="1">IF(OFFSET('SE Manifest'!$L$29,(ROW(AE6)-1)*3,0)="","",IF('SE Manifest'!$G$25="","",IF('SE Manifest'!$G$25="METRIC","KG"&amp;CHAR(10)&amp;"LBS","LBS"&amp;CHAR(10)&amp;"KG")))</f>
        <v/>
      </c>
      <c r="AI46" s="216" t="str">
        <f ca="1">IF(OFFSET('SE Manifest'!$N$29,(ROW(AI6)-1)*3,0)="","",IF('SE Manifest'!$G$25="METRIC",FIXED(OFFSET('SE Manifest'!$N$29,(ROW(AI6)-1)*3,0),4)&amp;CHAR(10)&amp;FIXED(SUM(OFFSET('SE Manifest'!$N$29,(ROW(AI6)-1)*3,0)*35.3147),4),FIXED(OFFSET('SE Manifest'!$N$29,(ROW(AI6)-1)*3,0),4)&amp;CHAR(10)&amp;FIXED(SUM(OFFSET('SE Manifest'!$N$29,(ROW(AI6)-1)*3,0)*0.0283168),4)))</f>
        <v/>
      </c>
      <c r="AJ46" s="217"/>
      <c r="AK46" s="147" t="str">
        <f ca="1">IF(OFFSET('SE Manifest'!$N$29,(ROW(AI6)-1)*3,0)="","",IF('SE Manifest'!$G$25="","",IF('SE Manifest'!$G$25="METRIC","CBM"&amp;CHAR(10)&amp;"CFT","CFT"&amp;CHAR(10)&amp;"CBM")))</f>
        <v/>
      </c>
      <c r="AL46" s="12"/>
    </row>
    <row r="47" spans="1:39" ht="129.94999999999999" hidden="1" customHeight="1">
      <c r="A47" s="12"/>
      <c r="B47" s="121"/>
      <c r="C47" s="213" t="str">
        <f ca="1">IF(OFFSET('SE Manifest'!$A$30,(ROW(C7)-1)*3,0)="","",OFFSET('SE Manifest'!$A$30,(ROW(C7)-1)*3,0))</f>
        <v/>
      </c>
      <c r="D47" s="213"/>
      <c r="E47" s="213"/>
      <c r="F47" s="122"/>
      <c r="G47" s="123"/>
      <c r="H47" s="145" t="str">
        <f ca="1">IF(OFFSET('SE Manifest'!$C$29,(ROW(H7)-1)*3,0)="","",OFFSET('SE Manifest'!$C$29,(ROW(H7)-1)*3,0))</f>
        <v/>
      </c>
      <c r="I47" s="124" t="str">
        <f t="shared" ca="1" si="0"/>
        <v/>
      </c>
      <c r="J47" s="145" t="str">
        <f ca="1">IF(OFFSET('SE Manifest'!$D$29,(ROW(J7)-1)*3,0)="","",OFFSET('SE Manifest'!$D$29,(ROW(J7)-1)*3,0))</f>
        <v/>
      </c>
      <c r="K47" s="122"/>
      <c r="L47" s="123"/>
      <c r="M47" s="213" t="str">
        <f ca="1">IF(OFFSET('SE Manifest'!$E$29,(ROW(M7)-1)*3,0)="","",OFFSET('SE Manifest'!$E$29,(ROW(M7)-1)*3,0)&amp;CHAR(10)&amp;OFFSET('SE Manifest'!$E$30,(ROW(M7)-1)*3,0)&amp;CHAR(10)&amp;OFFSET('SE Manifest'!$E$31,(ROW(M7)-1)*3,0))</f>
        <v/>
      </c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213"/>
      <c r="AC47" s="213"/>
      <c r="AD47" s="213"/>
      <c r="AE47" s="214" t="str">
        <f ca="1">IF(OFFSET('SE Manifest'!$L$29,(ROW(AE7)-1)*3,0)="","",IF('SE Manifest'!$G$25="METRIC",FIXED(OFFSET('SE Manifest'!$L$29,(ROW(AE7)-1)*3,0),3)&amp;CHAR(10)&amp;FIXED(SUM(OFFSET('SE Manifest'!$L$29,(ROW(AE7)-1)*3,0)*2.20462),3),FIXED(OFFSET('SE Manifest'!$L$29,(ROW(AE7)-1)*3,0),3)&amp;CHAR(10)&amp;FIXED(SUM(OFFSET('SE Manifest'!$L$29,(ROW(AE7)-1)*3,0)*0.453592),3)))</f>
        <v/>
      </c>
      <c r="AF47" s="215"/>
      <c r="AG47" s="215"/>
      <c r="AH47" s="146" t="str">
        <f ca="1">IF(OFFSET('SE Manifest'!$L$29,(ROW(AE7)-1)*3,0)="","",IF('SE Manifest'!$G$25="","",IF('SE Manifest'!$G$25="METRIC","KG"&amp;CHAR(10)&amp;"LBS","LBS"&amp;CHAR(10)&amp;"KG")))</f>
        <v/>
      </c>
      <c r="AI47" s="216" t="str">
        <f ca="1">IF(OFFSET('SE Manifest'!$N$29,(ROW(AI7)-1)*3,0)="","",IF('SE Manifest'!$G$25="METRIC",FIXED(OFFSET('SE Manifest'!$N$29,(ROW(AI7)-1)*3,0),4)&amp;CHAR(10)&amp;FIXED(SUM(OFFSET('SE Manifest'!$N$29,(ROW(AI7)-1)*3,0)*35.3147),4),FIXED(OFFSET('SE Manifest'!$N$29,(ROW(AI7)-1)*3,0),4)&amp;CHAR(10)&amp;FIXED(SUM(OFFSET('SE Manifest'!$N$29,(ROW(AI7)-1)*3,0)*0.0283168),4)))</f>
        <v/>
      </c>
      <c r="AJ47" s="217"/>
      <c r="AK47" s="147" t="str">
        <f ca="1">IF(OFFSET('SE Manifest'!$N$29,(ROW(AI7)-1)*3,0)="","",IF('SE Manifest'!$G$25="","",IF('SE Manifest'!$G$25="METRIC","CBM"&amp;CHAR(10)&amp;"CFT","CFT"&amp;CHAR(10)&amp;"CBM")))</f>
        <v/>
      </c>
      <c r="AL47" s="12"/>
    </row>
    <row r="48" spans="1:39" ht="129.94999999999999" hidden="1" customHeight="1">
      <c r="A48" s="12"/>
      <c r="B48" s="121"/>
      <c r="C48" s="213" t="str">
        <f ca="1">IF(OFFSET('SE Manifest'!$A$30,(ROW(C8)-1)*3,0)="","",OFFSET('SE Manifest'!$A$30,(ROW(C8)-1)*3,0))</f>
        <v/>
      </c>
      <c r="D48" s="213"/>
      <c r="E48" s="213"/>
      <c r="F48" s="122"/>
      <c r="G48" s="123"/>
      <c r="H48" s="145" t="str">
        <f ca="1">IF(OFFSET('SE Manifest'!$C$29,(ROW(H8)-1)*3,0)="","",OFFSET('SE Manifest'!$C$29,(ROW(H8)-1)*3,0))</f>
        <v/>
      </c>
      <c r="I48" s="124" t="str">
        <f t="shared" ca="1" si="0"/>
        <v/>
      </c>
      <c r="J48" s="145" t="str">
        <f ca="1">IF(OFFSET('SE Manifest'!$D$29,(ROW(J8)-1)*3,0)="","",OFFSET('SE Manifest'!$D$29,(ROW(J8)-1)*3,0))</f>
        <v/>
      </c>
      <c r="K48" s="122"/>
      <c r="L48" s="123"/>
      <c r="M48" s="213" t="str">
        <f ca="1">IF(OFFSET('SE Manifest'!$E$29,(ROW(M8)-1)*3,0)="","",OFFSET('SE Manifest'!$E$29,(ROW(M8)-1)*3,0)&amp;CHAR(10)&amp;OFFSET('SE Manifest'!$E$30,(ROW(M8)-1)*3,0)&amp;CHAR(10)&amp;OFFSET('SE Manifest'!$E$31,(ROW(M8)-1)*3,0))</f>
        <v/>
      </c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  <c r="AC48" s="213"/>
      <c r="AD48" s="213"/>
      <c r="AE48" s="214" t="str">
        <f ca="1">IF(OFFSET('SE Manifest'!$L$29,(ROW(AE8)-1)*3,0)="","",IF('SE Manifest'!$G$25="METRIC",FIXED(OFFSET('SE Manifest'!$L$29,(ROW(AE8)-1)*3,0),3)&amp;CHAR(10)&amp;FIXED(SUM(OFFSET('SE Manifest'!$L$29,(ROW(AE8)-1)*3,0)*2.20462),3),FIXED(OFFSET('SE Manifest'!$L$29,(ROW(AE8)-1)*3,0),3)&amp;CHAR(10)&amp;FIXED(SUM(OFFSET('SE Manifest'!$L$29,(ROW(AE8)-1)*3,0)*0.453592),3)))</f>
        <v/>
      </c>
      <c r="AF48" s="215"/>
      <c r="AG48" s="215"/>
      <c r="AH48" s="146" t="str">
        <f ca="1">IF(OFFSET('SE Manifest'!$L$29,(ROW(AE8)-1)*3,0)="","",IF('SE Manifest'!$G$25="","",IF('SE Manifest'!$G$25="METRIC","KG"&amp;CHAR(10)&amp;"LBS","LBS"&amp;CHAR(10)&amp;"KG")))</f>
        <v/>
      </c>
      <c r="AI48" s="216" t="str">
        <f ca="1">IF(OFFSET('SE Manifest'!$N$29,(ROW(AI8)-1)*3,0)="","",IF('SE Manifest'!$G$25="METRIC",FIXED(OFFSET('SE Manifest'!$N$29,(ROW(AI8)-1)*3,0),4)&amp;CHAR(10)&amp;FIXED(SUM(OFFSET('SE Manifest'!$N$29,(ROW(AI8)-1)*3,0)*35.3147),4),FIXED(OFFSET('SE Manifest'!$N$29,(ROW(AI8)-1)*3,0),4)&amp;CHAR(10)&amp;FIXED(SUM(OFFSET('SE Manifest'!$N$29,(ROW(AI8)-1)*3,0)*0.0283168),4)))</f>
        <v/>
      </c>
      <c r="AJ48" s="217"/>
      <c r="AK48" s="147" t="str">
        <f ca="1">IF(OFFSET('SE Manifest'!$N$29,(ROW(AI8)-1)*3,0)="","",IF('SE Manifest'!$G$25="","",IF('SE Manifest'!$G$25="METRIC","CBM"&amp;CHAR(10)&amp;"CFT","CFT"&amp;CHAR(10)&amp;"CBM")))</f>
        <v/>
      </c>
      <c r="AL48" s="12"/>
    </row>
    <row r="49" spans="1:38" ht="129.94999999999999" hidden="1" customHeight="1">
      <c r="A49" s="12"/>
      <c r="B49" s="121"/>
      <c r="C49" s="213" t="str">
        <f ca="1">IF(OFFSET('SE Manifest'!$A$30,(ROW(C9)-1)*3,0)="","",OFFSET('SE Manifest'!$A$30,(ROW(C9)-1)*3,0))</f>
        <v/>
      </c>
      <c r="D49" s="213"/>
      <c r="E49" s="213"/>
      <c r="F49" s="122"/>
      <c r="G49" s="123"/>
      <c r="H49" s="145" t="str">
        <f ca="1">IF(OFFSET('SE Manifest'!$C$29,(ROW(H9)-1)*3,0)="","",OFFSET('SE Manifest'!$C$29,(ROW(H9)-1)*3,0))</f>
        <v/>
      </c>
      <c r="I49" s="124" t="str">
        <f t="shared" ca="1" si="0"/>
        <v/>
      </c>
      <c r="J49" s="145" t="str">
        <f ca="1">IF(OFFSET('SE Manifest'!$D$29,(ROW(J9)-1)*3,0)="","",OFFSET('SE Manifest'!$D$29,(ROW(J9)-1)*3,0))</f>
        <v/>
      </c>
      <c r="K49" s="122"/>
      <c r="L49" s="123"/>
      <c r="M49" s="213" t="str">
        <f ca="1">IF(OFFSET('SE Manifest'!$E$29,(ROW(M9)-1)*3,0)="","",OFFSET('SE Manifest'!$E$29,(ROW(M9)-1)*3,0)&amp;CHAR(10)&amp;OFFSET('SE Manifest'!$E$30,(ROW(M9)-1)*3,0)&amp;CHAR(10)&amp;OFFSET('SE Manifest'!$E$31,(ROW(M9)-1)*3,0))</f>
        <v/>
      </c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  <c r="AC49" s="213"/>
      <c r="AD49" s="213"/>
      <c r="AE49" s="214" t="str">
        <f ca="1">IF(OFFSET('SE Manifest'!$L$29,(ROW(AE9)-1)*3,0)="","",IF('SE Manifest'!$G$25="METRIC",FIXED(OFFSET('SE Manifest'!$L$29,(ROW(AE9)-1)*3,0),3)&amp;CHAR(10)&amp;FIXED(SUM(OFFSET('SE Manifest'!$L$29,(ROW(AE9)-1)*3,0)*2.20462),3),FIXED(OFFSET('SE Manifest'!$L$29,(ROW(AE9)-1)*3,0),3)&amp;CHAR(10)&amp;FIXED(SUM(OFFSET('SE Manifest'!$L$29,(ROW(AE9)-1)*3,0)*0.453592),3)))</f>
        <v/>
      </c>
      <c r="AF49" s="215"/>
      <c r="AG49" s="215"/>
      <c r="AH49" s="146" t="str">
        <f ca="1">IF(OFFSET('SE Manifest'!$L$29,(ROW(AE9)-1)*3,0)="","",IF('SE Manifest'!$G$25="","",IF('SE Manifest'!$G$25="METRIC","KG"&amp;CHAR(10)&amp;"LBS","LBS"&amp;CHAR(10)&amp;"KG")))</f>
        <v/>
      </c>
      <c r="AI49" s="216" t="str">
        <f ca="1">IF(OFFSET('SE Manifest'!$N$29,(ROW(AI9)-1)*3,0)="","",IF('SE Manifest'!$G$25="METRIC",FIXED(OFFSET('SE Manifest'!$N$29,(ROW(AI9)-1)*3,0),4)&amp;CHAR(10)&amp;FIXED(SUM(OFFSET('SE Manifest'!$N$29,(ROW(AI9)-1)*3,0)*35.3147),4),FIXED(OFFSET('SE Manifest'!$N$29,(ROW(AI9)-1)*3,0),4)&amp;CHAR(10)&amp;FIXED(SUM(OFFSET('SE Manifest'!$N$29,(ROW(AI9)-1)*3,0)*0.0283168),4)))</f>
        <v/>
      </c>
      <c r="AJ49" s="217"/>
      <c r="AK49" s="147" t="str">
        <f ca="1">IF(OFFSET('SE Manifest'!$N$29,(ROW(AI9)-1)*3,0)="","",IF('SE Manifest'!$G$25="","",IF('SE Manifest'!$G$25="METRIC","CBM"&amp;CHAR(10)&amp;"CFT","CFT"&amp;CHAR(10)&amp;"CBM")))</f>
        <v/>
      </c>
      <c r="AL49" s="12"/>
    </row>
    <row r="50" spans="1:38" ht="129.94999999999999" hidden="1" customHeight="1">
      <c r="A50" s="12"/>
      <c r="B50" s="121"/>
      <c r="C50" s="213" t="str">
        <f ca="1">IF(OFFSET('SE Manifest'!$A$30,(ROW(C10)-1)*3,0)="","",OFFSET('SE Manifest'!$A$30,(ROW(C10)-1)*3,0))</f>
        <v/>
      </c>
      <c r="D50" s="213"/>
      <c r="E50" s="213"/>
      <c r="F50" s="122"/>
      <c r="G50" s="123"/>
      <c r="H50" s="145" t="str">
        <f ca="1">IF(OFFSET('SE Manifest'!$C$29,(ROW(H10)-1)*3,0)="","",OFFSET('SE Manifest'!$C$29,(ROW(H10)-1)*3,0))</f>
        <v/>
      </c>
      <c r="I50" s="124" t="str">
        <f t="shared" ca="1" si="0"/>
        <v/>
      </c>
      <c r="J50" s="145" t="str">
        <f ca="1">IF(OFFSET('SE Manifest'!$D$29,(ROW(J10)-1)*3,0)="","",OFFSET('SE Manifest'!$D$29,(ROW(J10)-1)*3,0))</f>
        <v/>
      </c>
      <c r="K50" s="122"/>
      <c r="L50" s="123"/>
      <c r="M50" s="213" t="str">
        <f ca="1">IF(OFFSET('SE Manifest'!$E$29,(ROW(M10)-1)*3,0)="","",OFFSET('SE Manifest'!$E$29,(ROW(M10)-1)*3,0)&amp;CHAR(10)&amp;OFFSET('SE Manifest'!$E$30,(ROW(M10)-1)*3,0)&amp;CHAR(10)&amp;OFFSET('SE Manifest'!$E$31,(ROW(M10)-1)*3,0))</f>
        <v/>
      </c>
      <c r="N50" s="213"/>
      <c r="O50" s="213"/>
      <c r="P50" s="213"/>
      <c r="Q50" s="213"/>
      <c r="R50" s="213"/>
      <c r="S50" s="213"/>
      <c r="T50" s="213"/>
      <c r="U50" s="213"/>
      <c r="V50" s="213"/>
      <c r="W50" s="213"/>
      <c r="X50" s="213"/>
      <c r="Y50" s="213"/>
      <c r="Z50" s="213"/>
      <c r="AA50" s="213"/>
      <c r="AB50" s="213"/>
      <c r="AC50" s="213"/>
      <c r="AD50" s="213"/>
      <c r="AE50" s="214" t="str">
        <f ca="1">IF(OFFSET('SE Manifest'!$L$29,(ROW(AE10)-1)*3,0)="","",IF('SE Manifest'!$G$25="METRIC",FIXED(OFFSET('SE Manifest'!$L$29,(ROW(AE10)-1)*3,0),3)&amp;CHAR(10)&amp;FIXED(SUM(OFFSET('SE Manifest'!$L$29,(ROW(AE10)-1)*3,0)*2.20462),3),FIXED(OFFSET('SE Manifest'!$L$29,(ROW(AE10)-1)*3,0),3)&amp;CHAR(10)&amp;FIXED(SUM(OFFSET('SE Manifest'!$L$29,(ROW(AE10)-1)*3,0)*0.453592),3)))</f>
        <v/>
      </c>
      <c r="AF50" s="215"/>
      <c r="AG50" s="215"/>
      <c r="AH50" s="146" t="str">
        <f ca="1">IF(OFFSET('SE Manifest'!$L$29,(ROW(AE10)-1)*3,0)="","",IF('SE Manifest'!$G$25="","",IF('SE Manifest'!$G$25="METRIC","KG"&amp;CHAR(10)&amp;"LBS","LBS"&amp;CHAR(10)&amp;"KG")))</f>
        <v/>
      </c>
      <c r="AI50" s="216" t="str">
        <f ca="1">IF(OFFSET('SE Manifest'!$N$29,(ROW(AI10)-1)*3,0)="","",IF('SE Manifest'!$G$25="METRIC",FIXED(OFFSET('SE Manifest'!$N$29,(ROW(AI10)-1)*3,0),4)&amp;CHAR(10)&amp;FIXED(SUM(OFFSET('SE Manifest'!$N$29,(ROW(AI10)-1)*3,0)*35.3147),4),FIXED(OFFSET('SE Manifest'!$N$29,(ROW(AI10)-1)*3,0),4)&amp;CHAR(10)&amp;FIXED(SUM(OFFSET('SE Manifest'!$N$29,(ROW(AI10)-1)*3,0)*0.0283168),4)))</f>
        <v/>
      </c>
      <c r="AJ50" s="217"/>
      <c r="AK50" s="147" t="str">
        <f ca="1">IF(OFFSET('SE Manifest'!$N$29,(ROW(AI10)-1)*3,0)="","",IF('SE Manifest'!$G$25="","",IF('SE Manifest'!$G$25="METRIC","CBM"&amp;CHAR(10)&amp;"CFT","CFT"&amp;CHAR(10)&amp;"CBM")))</f>
        <v/>
      </c>
      <c r="AL50" s="12"/>
    </row>
    <row r="51" spans="1:38" ht="129.94999999999999" hidden="1" customHeight="1">
      <c r="A51" s="12"/>
      <c r="B51" s="121"/>
      <c r="C51" s="213" t="str">
        <f ca="1">IF(OFFSET('SE Manifest'!$A$30,(ROW(C11)-1)*3,0)="","",OFFSET('SE Manifest'!$A$30,(ROW(C11)-1)*3,0))</f>
        <v/>
      </c>
      <c r="D51" s="213"/>
      <c r="E51" s="213"/>
      <c r="F51" s="122"/>
      <c r="G51" s="123"/>
      <c r="H51" s="145" t="str">
        <f ca="1">IF(OFFSET('SE Manifest'!$C$29,(ROW(H11)-1)*3,0)="","",OFFSET('SE Manifest'!$C$29,(ROW(H11)-1)*3,0))</f>
        <v/>
      </c>
      <c r="I51" s="124" t="str">
        <f t="shared" ca="1" si="0"/>
        <v/>
      </c>
      <c r="J51" s="145" t="str">
        <f ca="1">IF(OFFSET('SE Manifest'!$D$29,(ROW(J11)-1)*3,0)="","",OFFSET('SE Manifest'!$D$29,(ROW(J11)-1)*3,0))</f>
        <v/>
      </c>
      <c r="K51" s="122"/>
      <c r="L51" s="123"/>
      <c r="M51" s="213" t="str">
        <f ca="1">IF(OFFSET('SE Manifest'!$E$29,(ROW(M11)-1)*3,0)="","",OFFSET('SE Manifest'!$E$29,(ROW(M11)-1)*3,0)&amp;CHAR(10)&amp;OFFSET('SE Manifest'!$E$30,(ROW(M11)-1)*3,0)&amp;CHAR(10)&amp;OFFSET('SE Manifest'!$E$31,(ROW(M11)-1)*3,0))</f>
        <v/>
      </c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4" t="str">
        <f ca="1">IF(OFFSET('SE Manifest'!$L$29,(ROW(AE11)-1)*3,0)="","",IF('SE Manifest'!$G$25="METRIC",FIXED(OFFSET('SE Manifest'!$L$29,(ROW(AE11)-1)*3,0),3)&amp;CHAR(10)&amp;FIXED(SUM(OFFSET('SE Manifest'!$L$29,(ROW(AE11)-1)*3,0)*2.20462),3),FIXED(OFFSET('SE Manifest'!$L$29,(ROW(AE11)-1)*3,0),3)&amp;CHAR(10)&amp;FIXED(SUM(OFFSET('SE Manifest'!$L$29,(ROW(AE11)-1)*3,0)*0.453592),3)))</f>
        <v/>
      </c>
      <c r="AF51" s="215"/>
      <c r="AG51" s="215"/>
      <c r="AH51" s="146" t="str">
        <f ca="1">IF(OFFSET('SE Manifest'!$L$29,(ROW(AE11)-1)*3,0)="","",IF('SE Manifest'!$G$25="","",IF('SE Manifest'!$G$25="METRIC","KG"&amp;CHAR(10)&amp;"LBS","LBS"&amp;CHAR(10)&amp;"KG")))</f>
        <v/>
      </c>
      <c r="AI51" s="216" t="str">
        <f ca="1">IF(OFFSET('SE Manifest'!$N$29,(ROW(AI11)-1)*3,0)="","",IF('SE Manifest'!$G$25="METRIC",FIXED(OFFSET('SE Manifest'!$N$29,(ROW(AI11)-1)*3,0),4)&amp;CHAR(10)&amp;FIXED(SUM(OFFSET('SE Manifest'!$N$29,(ROW(AI11)-1)*3,0)*35.3147),4),FIXED(OFFSET('SE Manifest'!$N$29,(ROW(AI11)-1)*3,0),4)&amp;CHAR(10)&amp;FIXED(SUM(OFFSET('SE Manifest'!$N$29,(ROW(AI11)-1)*3,0)*0.0283168),4)))</f>
        <v/>
      </c>
      <c r="AJ51" s="217"/>
      <c r="AK51" s="147" t="str">
        <f ca="1">IF(OFFSET('SE Manifest'!$N$29,(ROW(AI11)-1)*3,0)="","",IF('SE Manifest'!$G$25="","",IF('SE Manifest'!$G$25="METRIC","CBM"&amp;CHAR(10)&amp;"CFT","CFT"&amp;CHAR(10)&amp;"CBM")))</f>
        <v/>
      </c>
      <c r="AL51" s="12"/>
    </row>
    <row r="52" spans="1:38" ht="129.94999999999999" hidden="1" customHeight="1">
      <c r="A52" s="12"/>
      <c r="B52" s="121"/>
      <c r="C52" s="213" t="str">
        <f ca="1">IF(OFFSET('SE Manifest'!$A$30,(ROW(C12)-1)*3,0)="","",OFFSET('SE Manifest'!$A$30,(ROW(C12)-1)*3,0))</f>
        <v/>
      </c>
      <c r="D52" s="213"/>
      <c r="E52" s="213"/>
      <c r="F52" s="122"/>
      <c r="G52" s="123"/>
      <c r="H52" s="145" t="str">
        <f ca="1">IF(OFFSET('SE Manifest'!$C$29,(ROW(H12)-1)*3,0)="","",OFFSET('SE Manifest'!$C$29,(ROW(H12)-1)*3,0))</f>
        <v/>
      </c>
      <c r="I52" s="124" t="str">
        <f t="shared" ca="1" si="0"/>
        <v/>
      </c>
      <c r="J52" s="145" t="str">
        <f ca="1">IF(OFFSET('SE Manifest'!$D$29,(ROW(J12)-1)*3,0)="","",OFFSET('SE Manifest'!$D$29,(ROW(J12)-1)*3,0))</f>
        <v/>
      </c>
      <c r="K52" s="122"/>
      <c r="L52" s="123"/>
      <c r="M52" s="213" t="str">
        <f ca="1">IF(OFFSET('SE Manifest'!$E$29,(ROW(M12)-1)*3,0)="","",OFFSET('SE Manifest'!$E$29,(ROW(M12)-1)*3,0)&amp;CHAR(10)&amp;OFFSET('SE Manifest'!$E$30,(ROW(M12)-1)*3,0)&amp;CHAR(10)&amp;OFFSET('SE Manifest'!$E$31,(ROW(M12)-1)*3,0))</f>
        <v/>
      </c>
      <c r="N52" s="213"/>
      <c r="O52" s="213"/>
      <c r="P52" s="213"/>
      <c r="Q52" s="213"/>
      <c r="R52" s="213"/>
      <c r="S52" s="213"/>
      <c r="T52" s="213"/>
      <c r="U52" s="213"/>
      <c r="V52" s="213"/>
      <c r="W52" s="213"/>
      <c r="X52" s="213"/>
      <c r="Y52" s="213"/>
      <c r="Z52" s="213"/>
      <c r="AA52" s="213"/>
      <c r="AB52" s="213"/>
      <c r="AC52" s="213"/>
      <c r="AD52" s="213"/>
      <c r="AE52" s="214" t="str">
        <f ca="1">IF(OFFSET('SE Manifest'!$L$29,(ROW(AE12)-1)*3,0)="","",IF('SE Manifest'!$G$25="METRIC",FIXED(OFFSET('SE Manifest'!$L$29,(ROW(AE12)-1)*3,0),3)&amp;CHAR(10)&amp;FIXED(SUM(OFFSET('SE Manifest'!$L$29,(ROW(AE12)-1)*3,0)*2.20462),3),FIXED(OFFSET('SE Manifest'!$L$29,(ROW(AE12)-1)*3,0),3)&amp;CHAR(10)&amp;FIXED(SUM(OFFSET('SE Manifest'!$L$29,(ROW(AE12)-1)*3,0)*0.453592),3)))</f>
        <v/>
      </c>
      <c r="AF52" s="215"/>
      <c r="AG52" s="215"/>
      <c r="AH52" s="146" t="str">
        <f ca="1">IF(OFFSET('SE Manifest'!$L$29,(ROW(AE12)-1)*3,0)="","",IF('SE Manifest'!$G$25="","",IF('SE Manifest'!$G$25="METRIC","KG"&amp;CHAR(10)&amp;"LBS","LBS"&amp;CHAR(10)&amp;"KG")))</f>
        <v/>
      </c>
      <c r="AI52" s="216" t="str">
        <f ca="1">IF(OFFSET('SE Manifest'!$N$29,(ROW(AI12)-1)*3,0)="","",IF('SE Manifest'!$G$25="METRIC",FIXED(OFFSET('SE Manifest'!$N$29,(ROW(AI12)-1)*3,0),4)&amp;CHAR(10)&amp;FIXED(SUM(OFFSET('SE Manifest'!$N$29,(ROW(AI12)-1)*3,0)*35.3147),4),FIXED(OFFSET('SE Manifest'!$N$29,(ROW(AI12)-1)*3,0),4)&amp;CHAR(10)&amp;FIXED(SUM(OFFSET('SE Manifest'!$N$29,(ROW(AI12)-1)*3,0)*0.0283168),4)))</f>
        <v/>
      </c>
      <c r="AJ52" s="217"/>
      <c r="AK52" s="147" t="str">
        <f ca="1">IF(OFFSET('SE Manifest'!$N$29,(ROW(AI12)-1)*3,0)="","",IF('SE Manifest'!$G$25="","",IF('SE Manifest'!$G$25="METRIC","CBM"&amp;CHAR(10)&amp;"CFT","CFT"&amp;CHAR(10)&amp;"CBM")))</f>
        <v/>
      </c>
      <c r="AL52" s="12"/>
    </row>
    <row r="53" spans="1:38" ht="129.94999999999999" hidden="1" customHeight="1">
      <c r="A53" s="12"/>
      <c r="B53" s="121"/>
      <c r="C53" s="213" t="str">
        <f ca="1">IF(OFFSET('SE Manifest'!$A$30,(ROW(C13)-1)*3,0)="","",OFFSET('SE Manifest'!$A$30,(ROW(C13)-1)*3,0))</f>
        <v/>
      </c>
      <c r="D53" s="213"/>
      <c r="E53" s="213"/>
      <c r="F53" s="122"/>
      <c r="G53" s="123"/>
      <c r="H53" s="145" t="str">
        <f ca="1">IF(OFFSET('SE Manifest'!$C$29,(ROW(H13)-1)*3,0)="","",OFFSET('SE Manifest'!$C$29,(ROW(H13)-1)*3,0))</f>
        <v/>
      </c>
      <c r="I53" s="124" t="str">
        <f t="shared" ca="1" si="0"/>
        <v/>
      </c>
      <c r="J53" s="145" t="str">
        <f ca="1">IF(OFFSET('SE Manifest'!$D$29,(ROW(J13)-1)*3,0)="","",OFFSET('SE Manifest'!$D$29,(ROW(J13)-1)*3,0))</f>
        <v/>
      </c>
      <c r="K53" s="122"/>
      <c r="L53" s="123"/>
      <c r="M53" s="213" t="str">
        <f ca="1">IF(OFFSET('SE Manifest'!$E$29,(ROW(M13)-1)*3,0)="","",OFFSET('SE Manifest'!$E$29,(ROW(M13)-1)*3,0)&amp;CHAR(10)&amp;OFFSET('SE Manifest'!$E$30,(ROW(M13)-1)*3,0)&amp;CHAR(10)&amp;OFFSET('SE Manifest'!$E$31,(ROW(M13)-1)*3,0))</f>
        <v/>
      </c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  <c r="AC53" s="213"/>
      <c r="AD53" s="213"/>
      <c r="AE53" s="214" t="str">
        <f ca="1">IF(OFFSET('SE Manifest'!$L$29,(ROW(AE13)-1)*3,0)="","",IF('SE Manifest'!$G$25="METRIC",FIXED(OFFSET('SE Manifest'!$L$29,(ROW(AE13)-1)*3,0),3)&amp;CHAR(10)&amp;FIXED(SUM(OFFSET('SE Manifest'!$L$29,(ROW(AE13)-1)*3,0)*2.20462),3),FIXED(OFFSET('SE Manifest'!$L$29,(ROW(AE13)-1)*3,0),3)&amp;CHAR(10)&amp;FIXED(SUM(OFFSET('SE Manifest'!$L$29,(ROW(AE13)-1)*3,0)*0.453592),3)))</f>
        <v/>
      </c>
      <c r="AF53" s="215"/>
      <c r="AG53" s="215"/>
      <c r="AH53" s="146" t="str">
        <f ca="1">IF(OFFSET('SE Manifest'!$L$29,(ROW(AE13)-1)*3,0)="","",IF('SE Manifest'!$G$25="","",IF('SE Manifest'!$G$25="METRIC","KG"&amp;CHAR(10)&amp;"LBS","LBS"&amp;CHAR(10)&amp;"KG")))</f>
        <v/>
      </c>
      <c r="AI53" s="216" t="str">
        <f ca="1">IF(OFFSET('SE Manifest'!$N$29,(ROW(AI13)-1)*3,0)="","",IF('SE Manifest'!$G$25="METRIC",FIXED(OFFSET('SE Manifest'!$N$29,(ROW(AI13)-1)*3,0),4)&amp;CHAR(10)&amp;FIXED(SUM(OFFSET('SE Manifest'!$N$29,(ROW(AI13)-1)*3,0)*35.3147),4),FIXED(OFFSET('SE Manifest'!$N$29,(ROW(AI13)-1)*3,0),4)&amp;CHAR(10)&amp;FIXED(SUM(OFFSET('SE Manifest'!$N$29,(ROW(AI13)-1)*3,0)*0.0283168),4)))</f>
        <v/>
      </c>
      <c r="AJ53" s="217"/>
      <c r="AK53" s="147" t="str">
        <f ca="1">IF(OFFSET('SE Manifest'!$N$29,(ROW(AI13)-1)*3,0)="","",IF('SE Manifest'!$G$25="","",IF('SE Manifest'!$G$25="METRIC","CBM"&amp;CHAR(10)&amp;"CFT","CFT"&amp;CHAR(10)&amp;"CBM")))</f>
        <v/>
      </c>
      <c r="AL53" s="12"/>
    </row>
    <row r="54" spans="1:38" ht="129.94999999999999" hidden="1" customHeight="1">
      <c r="A54" s="12"/>
      <c r="B54" s="121"/>
      <c r="C54" s="213" t="str">
        <f ca="1">IF(OFFSET('SE Manifest'!$A$30,(ROW(C14)-1)*3,0)="","",OFFSET('SE Manifest'!$A$30,(ROW(C14)-1)*3,0))</f>
        <v/>
      </c>
      <c r="D54" s="213"/>
      <c r="E54" s="213"/>
      <c r="F54" s="122"/>
      <c r="G54" s="123"/>
      <c r="H54" s="145" t="str">
        <f ca="1">IF(OFFSET('SE Manifest'!$C$29,(ROW(H14)-1)*3,0)="","",OFFSET('SE Manifest'!$C$29,(ROW(H14)-1)*3,0))</f>
        <v/>
      </c>
      <c r="I54" s="124" t="str">
        <f t="shared" ca="1" si="0"/>
        <v/>
      </c>
      <c r="J54" s="145" t="str">
        <f ca="1">IF(OFFSET('SE Manifest'!$D$29,(ROW(J14)-1)*3,0)="","",OFFSET('SE Manifest'!$D$29,(ROW(J14)-1)*3,0))</f>
        <v/>
      </c>
      <c r="K54" s="122"/>
      <c r="L54" s="123"/>
      <c r="M54" s="213" t="str">
        <f ca="1">IF(OFFSET('SE Manifest'!$E$29,(ROW(M14)-1)*3,0)="","",OFFSET('SE Manifest'!$E$29,(ROW(M14)-1)*3,0)&amp;CHAR(10)&amp;OFFSET('SE Manifest'!$E$30,(ROW(M14)-1)*3,0)&amp;CHAR(10)&amp;OFFSET('SE Manifest'!$E$31,(ROW(M14)-1)*3,0))</f>
        <v/>
      </c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  <c r="AC54" s="213"/>
      <c r="AD54" s="213"/>
      <c r="AE54" s="214" t="str">
        <f ca="1">IF(OFFSET('SE Manifest'!$L$29,(ROW(AE14)-1)*3,0)="","",IF('SE Manifest'!$G$25="METRIC",FIXED(OFFSET('SE Manifest'!$L$29,(ROW(AE14)-1)*3,0),3)&amp;CHAR(10)&amp;FIXED(SUM(OFFSET('SE Manifest'!$L$29,(ROW(AE14)-1)*3,0)*2.20462),3),FIXED(OFFSET('SE Manifest'!$L$29,(ROW(AE14)-1)*3,0),3)&amp;CHAR(10)&amp;FIXED(SUM(OFFSET('SE Manifest'!$L$29,(ROW(AE14)-1)*3,0)*0.453592),3)))</f>
        <v/>
      </c>
      <c r="AF54" s="215"/>
      <c r="AG54" s="215"/>
      <c r="AH54" s="146" t="str">
        <f ca="1">IF(OFFSET('SE Manifest'!$L$29,(ROW(AE14)-1)*3,0)="","",IF('SE Manifest'!$G$25="","",IF('SE Manifest'!$G$25="METRIC","KG"&amp;CHAR(10)&amp;"LBS","LBS"&amp;CHAR(10)&amp;"KG")))</f>
        <v/>
      </c>
      <c r="AI54" s="216" t="str">
        <f ca="1">IF(OFFSET('SE Manifest'!$N$29,(ROW(AI14)-1)*3,0)="","",IF('SE Manifest'!$G$25="METRIC",FIXED(OFFSET('SE Manifest'!$N$29,(ROW(AI14)-1)*3,0),4)&amp;CHAR(10)&amp;FIXED(SUM(OFFSET('SE Manifest'!$N$29,(ROW(AI14)-1)*3,0)*35.3147),4),FIXED(OFFSET('SE Manifest'!$N$29,(ROW(AI14)-1)*3,0),4)&amp;CHAR(10)&amp;FIXED(SUM(OFFSET('SE Manifest'!$N$29,(ROW(AI14)-1)*3,0)*0.0283168),4)))</f>
        <v/>
      </c>
      <c r="AJ54" s="217"/>
      <c r="AK54" s="147" t="str">
        <f ca="1">IF(OFFSET('SE Manifest'!$N$29,(ROW(AI14)-1)*3,0)="","",IF('SE Manifest'!$G$25="","",IF('SE Manifest'!$G$25="METRIC","CBM"&amp;CHAR(10)&amp;"CFT","CFT"&amp;CHAR(10)&amp;"CBM")))</f>
        <v/>
      </c>
      <c r="AL54" s="12"/>
    </row>
    <row r="55" spans="1:38" ht="129.94999999999999" hidden="1" customHeight="1">
      <c r="A55" s="12"/>
      <c r="B55" s="121"/>
      <c r="C55" s="213" t="str">
        <f ca="1">IF(OFFSET('SE Manifest'!$A$30,(ROW(C15)-1)*3,0)="","",OFFSET('SE Manifest'!$A$30,(ROW(C15)-1)*3,0))</f>
        <v/>
      </c>
      <c r="D55" s="213"/>
      <c r="E55" s="213"/>
      <c r="F55" s="122"/>
      <c r="G55" s="123"/>
      <c r="H55" s="145" t="str">
        <f ca="1">IF(OFFSET('SE Manifest'!$C$29,(ROW(H15)-1)*3,0)="","",OFFSET('SE Manifest'!$C$29,(ROW(H15)-1)*3,0))</f>
        <v/>
      </c>
      <c r="I55" s="124" t="str">
        <f t="shared" ca="1" si="0"/>
        <v/>
      </c>
      <c r="J55" s="145" t="str">
        <f ca="1">IF(OFFSET('SE Manifest'!$D$29,(ROW(J15)-1)*3,0)="","",OFFSET('SE Manifest'!$D$29,(ROW(J15)-1)*3,0))</f>
        <v/>
      </c>
      <c r="K55" s="122"/>
      <c r="L55" s="123"/>
      <c r="M55" s="213" t="str">
        <f ca="1">IF(OFFSET('SE Manifest'!$E$29,(ROW(M15)-1)*3,0)="","",OFFSET('SE Manifest'!$E$29,(ROW(M15)-1)*3,0)&amp;CHAR(10)&amp;OFFSET('SE Manifest'!$E$30,(ROW(M15)-1)*3,0)&amp;CHAR(10)&amp;OFFSET('SE Manifest'!$E$31,(ROW(M15)-1)*3,0))</f>
        <v/>
      </c>
      <c r="N55" s="213"/>
      <c r="O55" s="213"/>
      <c r="P55" s="213"/>
      <c r="Q55" s="213"/>
      <c r="R55" s="213"/>
      <c r="S55" s="213"/>
      <c r="T55" s="213"/>
      <c r="U55" s="213"/>
      <c r="V55" s="213"/>
      <c r="W55" s="213"/>
      <c r="X55" s="213"/>
      <c r="Y55" s="213"/>
      <c r="Z55" s="213"/>
      <c r="AA55" s="213"/>
      <c r="AB55" s="213"/>
      <c r="AC55" s="213"/>
      <c r="AD55" s="213"/>
      <c r="AE55" s="214" t="str">
        <f ca="1">IF(OFFSET('SE Manifest'!$L$29,(ROW(AE15)-1)*3,0)="","",IF('SE Manifest'!$G$25="METRIC",FIXED(OFFSET('SE Manifest'!$L$29,(ROW(AE15)-1)*3,0),3)&amp;CHAR(10)&amp;FIXED(SUM(OFFSET('SE Manifest'!$L$29,(ROW(AE15)-1)*3,0)*2.20462),3),FIXED(OFFSET('SE Manifest'!$L$29,(ROW(AE15)-1)*3,0),3)&amp;CHAR(10)&amp;FIXED(SUM(OFFSET('SE Manifest'!$L$29,(ROW(AE15)-1)*3,0)*0.453592),3)))</f>
        <v/>
      </c>
      <c r="AF55" s="215"/>
      <c r="AG55" s="215"/>
      <c r="AH55" s="146" t="str">
        <f ca="1">IF(OFFSET('SE Manifest'!$L$29,(ROW(AE15)-1)*3,0)="","",IF('SE Manifest'!$G$25="","",IF('SE Manifest'!$G$25="METRIC","KG"&amp;CHAR(10)&amp;"LBS","LBS"&amp;CHAR(10)&amp;"KG")))</f>
        <v/>
      </c>
      <c r="AI55" s="216" t="str">
        <f ca="1">IF(OFFSET('SE Manifest'!$N$29,(ROW(AI15)-1)*3,0)="","",IF('SE Manifest'!$G$25="METRIC",FIXED(OFFSET('SE Manifest'!$N$29,(ROW(AI15)-1)*3,0),4)&amp;CHAR(10)&amp;FIXED(SUM(OFFSET('SE Manifest'!$N$29,(ROW(AI15)-1)*3,0)*35.3147),4),FIXED(OFFSET('SE Manifest'!$N$29,(ROW(AI15)-1)*3,0),4)&amp;CHAR(10)&amp;FIXED(SUM(OFFSET('SE Manifest'!$N$29,(ROW(AI15)-1)*3,0)*0.0283168),4)))</f>
        <v/>
      </c>
      <c r="AJ55" s="217"/>
      <c r="AK55" s="147" t="str">
        <f ca="1">IF(OFFSET('SE Manifest'!$N$29,(ROW(AI15)-1)*3,0)="","",IF('SE Manifest'!$G$25="","",IF('SE Manifest'!$G$25="METRIC","CBM"&amp;CHAR(10)&amp;"CFT","CFT"&amp;CHAR(10)&amp;"CBM")))</f>
        <v/>
      </c>
      <c r="AL55" s="12"/>
    </row>
    <row r="56" spans="1:38" ht="129.94999999999999" hidden="1" customHeight="1">
      <c r="A56" s="12"/>
      <c r="B56" s="121"/>
      <c r="C56" s="213" t="str">
        <f ca="1">IF(OFFSET('SE Manifest'!$A$30,(ROW(C16)-1)*3,0)="","",OFFSET('SE Manifest'!$A$30,(ROW(C16)-1)*3,0))</f>
        <v/>
      </c>
      <c r="D56" s="213"/>
      <c r="E56" s="213"/>
      <c r="F56" s="122"/>
      <c r="G56" s="123"/>
      <c r="H56" s="145" t="str">
        <f ca="1">IF(OFFSET('SE Manifest'!$C$29,(ROW(H16)-1)*3,0)="","",OFFSET('SE Manifest'!$C$29,(ROW(H16)-1)*3,0))</f>
        <v/>
      </c>
      <c r="I56" s="124" t="str">
        <f t="shared" ca="1" si="0"/>
        <v/>
      </c>
      <c r="J56" s="145" t="str">
        <f ca="1">IF(OFFSET('SE Manifest'!$D$29,(ROW(J16)-1)*3,0)="","",OFFSET('SE Manifest'!$D$29,(ROW(J16)-1)*3,0))</f>
        <v/>
      </c>
      <c r="K56" s="122"/>
      <c r="L56" s="123"/>
      <c r="M56" s="213" t="str">
        <f ca="1">IF(OFFSET('SE Manifest'!$E$29,(ROW(M16)-1)*3,0)="","",OFFSET('SE Manifest'!$E$29,(ROW(M16)-1)*3,0)&amp;CHAR(10)&amp;OFFSET('SE Manifest'!$E$30,(ROW(M16)-1)*3,0)&amp;CHAR(10)&amp;OFFSET('SE Manifest'!$E$31,(ROW(M16)-1)*3,0))</f>
        <v/>
      </c>
      <c r="N56" s="213"/>
      <c r="O56" s="213"/>
      <c r="P56" s="213"/>
      <c r="Q56" s="213"/>
      <c r="R56" s="213"/>
      <c r="S56" s="213"/>
      <c r="T56" s="213"/>
      <c r="U56" s="213"/>
      <c r="V56" s="213"/>
      <c r="W56" s="213"/>
      <c r="X56" s="213"/>
      <c r="Y56" s="213"/>
      <c r="Z56" s="213"/>
      <c r="AA56" s="213"/>
      <c r="AB56" s="213"/>
      <c r="AC56" s="213"/>
      <c r="AD56" s="213"/>
      <c r="AE56" s="214" t="str">
        <f ca="1">IF(OFFSET('SE Manifest'!$L$29,(ROW(AE16)-1)*3,0)="","",IF('SE Manifest'!$G$25="METRIC",FIXED(OFFSET('SE Manifest'!$L$29,(ROW(AE16)-1)*3,0),3)&amp;CHAR(10)&amp;FIXED(SUM(OFFSET('SE Manifest'!$L$29,(ROW(AE16)-1)*3,0)*2.20462),3),FIXED(OFFSET('SE Manifest'!$L$29,(ROW(AE16)-1)*3,0),3)&amp;CHAR(10)&amp;FIXED(SUM(OFFSET('SE Manifest'!$L$29,(ROW(AE16)-1)*3,0)*0.453592),3)))</f>
        <v/>
      </c>
      <c r="AF56" s="215"/>
      <c r="AG56" s="215"/>
      <c r="AH56" s="146" t="str">
        <f ca="1">IF(OFFSET('SE Manifest'!$L$29,(ROW(AE16)-1)*3,0)="","",IF('SE Manifest'!$G$25="","",IF('SE Manifest'!$G$25="METRIC","KG"&amp;CHAR(10)&amp;"LBS","LBS"&amp;CHAR(10)&amp;"KG")))</f>
        <v/>
      </c>
      <c r="AI56" s="216" t="str">
        <f ca="1">IF(OFFSET('SE Manifest'!$N$29,(ROW(AI16)-1)*3,0)="","",IF('SE Manifest'!$G$25="METRIC",FIXED(OFFSET('SE Manifest'!$N$29,(ROW(AI16)-1)*3,0),4)&amp;CHAR(10)&amp;FIXED(SUM(OFFSET('SE Manifest'!$N$29,(ROW(AI16)-1)*3,0)*35.3147),4),FIXED(OFFSET('SE Manifest'!$N$29,(ROW(AI16)-1)*3,0),4)&amp;CHAR(10)&amp;FIXED(SUM(OFFSET('SE Manifest'!$N$29,(ROW(AI16)-1)*3,0)*0.0283168),4)))</f>
        <v/>
      </c>
      <c r="AJ56" s="217"/>
      <c r="AK56" s="147" t="str">
        <f ca="1">IF(OFFSET('SE Manifest'!$N$29,(ROW(AI16)-1)*3,0)="","",IF('SE Manifest'!$G$25="","",IF('SE Manifest'!$G$25="METRIC","CBM"&amp;CHAR(10)&amp;"CFT","CFT"&amp;CHAR(10)&amp;"CBM")))</f>
        <v/>
      </c>
      <c r="AL56" s="12"/>
    </row>
    <row r="57" spans="1:38" ht="129.94999999999999" hidden="1" customHeight="1">
      <c r="A57" s="12"/>
      <c r="B57" s="121"/>
      <c r="C57" s="213" t="str">
        <f ca="1">IF(OFFSET('SE Manifest'!$A$30,(ROW(C17)-1)*3,0)="","",OFFSET('SE Manifest'!$A$30,(ROW(C17)-1)*3,0))</f>
        <v/>
      </c>
      <c r="D57" s="213"/>
      <c r="E57" s="213"/>
      <c r="F57" s="122"/>
      <c r="G57" s="123"/>
      <c r="H57" s="145" t="str">
        <f ca="1">IF(OFFSET('SE Manifest'!$C$29,(ROW(H17)-1)*3,0)="","",OFFSET('SE Manifest'!$C$29,(ROW(H17)-1)*3,0))</f>
        <v/>
      </c>
      <c r="I57" s="124" t="str">
        <f t="shared" ca="1" si="0"/>
        <v/>
      </c>
      <c r="J57" s="145" t="str">
        <f ca="1">IF(OFFSET('SE Manifest'!$D$29,(ROW(J17)-1)*3,0)="","",OFFSET('SE Manifest'!$D$29,(ROW(J17)-1)*3,0))</f>
        <v/>
      </c>
      <c r="K57" s="122"/>
      <c r="L57" s="123"/>
      <c r="M57" s="213" t="str">
        <f ca="1">IF(OFFSET('SE Manifest'!$E$29,(ROW(M17)-1)*3,0)="","",OFFSET('SE Manifest'!$E$29,(ROW(M17)-1)*3,0)&amp;CHAR(10)&amp;OFFSET('SE Manifest'!$E$30,(ROW(M17)-1)*3,0)&amp;CHAR(10)&amp;OFFSET('SE Manifest'!$E$31,(ROW(M17)-1)*3,0))</f>
        <v/>
      </c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4" t="str">
        <f ca="1">IF(OFFSET('SE Manifest'!$L$29,(ROW(AE17)-1)*3,0)="","",IF('SE Manifest'!$G$25="METRIC",FIXED(OFFSET('SE Manifest'!$L$29,(ROW(AE17)-1)*3,0),3)&amp;CHAR(10)&amp;FIXED(SUM(OFFSET('SE Manifest'!$L$29,(ROW(AE17)-1)*3,0)*2.20462),3),FIXED(OFFSET('SE Manifest'!$L$29,(ROW(AE17)-1)*3,0),3)&amp;CHAR(10)&amp;FIXED(SUM(OFFSET('SE Manifest'!$L$29,(ROW(AE17)-1)*3,0)*0.453592),3)))</f>
        <v/>
      </c>
      <c r="AF57" s="215"/>
      <c r="AG57" s="215"/>
      <c r="AH57" s="146" t="str">
        <f ca="1">IF(OFFSET('SE Manifest'!$L$29,(ROW(AE17)-1)*3,0)="","",IF('SE Manifest'!$G$25="","",IF('SE Manifest'!$G$25="METRIC","KG"&amp;CHAR(10)&amp;"LBS","LBS"&amp;CHAR(10)&amp;"KG")))</f>
        <v/>
      </c>
      <c r="AI57" s="216" t="str">
        <f ca="1">IF(OFFSET('SE Manifest'!$N$29,(ROW(AI17)-1)*3,0)="","",IF('SE Manifest'!$G$25="METRIC",FIXED(OFFSET('SE Manifest'!$N$29,(ROW(AI17)-1)*3,0),4)&amp;CHAR(10)&amp;FIXED(SUM(OFFSET('SE Manifest'!$N$29,(ROW(AI17)-1)*3,0)*35.3147),4),FIXED(OFFSET('SE Manifest'!$N$29,(ROW(AI17)-1)*3,0),4)&amp;CHAR(10)&amp;FIXED(SUM(OFFSET('SE Manifest'!$N$29,(ROW(AI17)-1)*3,0)*0.0283168),4)))</f>
        <v/>
      </c>
      <c r="AJ57" s="217"/>
      <c r="AK57" s="147" t="str">
        <f ca="1">IF(OFFSET('SE Manifest'!$N$29,(ROW(AI17)-1)*3,0)="","",IF('SE Manifest'!$G$25="","",IF('SE Manifest'!$G$25="METRIC","CBM"&amp;CHAR(10)&amp;"CFT","CFT"&amp;CHAR(10)&amp;"CBM")))</f>
        <v/>
      </c>
      <c r="AL57" s="12"/>
    </row>
    <row r="58" spans="1:38" ht="129.94999999999999" hidden="1" customHeight="1">
      <c r="A58" s="12"/>
      <c r="B58" s="121"/>
      <c r="C58" s="213" t="str">
        <f ca="1">IF(OFFSET('SE Manifest'!$A$30,(ROW(C18)-1)*3,0)="","",OFFSET('SE Manifest'!$A$30,(ROW(C18)-1)*3,0))</f>
        <v/>
      </c>
      <c r="D58" s="213"/>
      <c r="E58" s="213"/>
      <c r="F58" s="122"/>
      <c r="G58" s="123"/>
      <c r="H58" s="145" t="str">
        <f ca="1">IF(OFFSET('SE Manifest'!$C$29,(ROW(H18)-1)*3,0)="","",OFFSET('SE Manifest'!$C$29,(ROW(H18)-1)*3,0))</f>
        <v/>
      </c>
      <c r="I58" s="124" t="str">
        <f t="shared" ca="1" si="0"/>
        <v/>
      </c>
      <c r="J58" s="145" t="str">
        <f ca="1">IF(OFFSET('SE Manifest'!$D$29,(ROW(J18)-1)*3,0)="","",OFFSET('SE Manifest'!$D$29,(ROW(J18)-1)*3,0))</f>
        <v/>
      </c>
      <c r="K58" s="122"/>
      <c r="L58" s="123"/>
      <c r="M58" s="213" t="str">
        <f ca="1">IF(OFFSET('SE Manifest'!$E$29,(ROW(M18)-1)*3,0)="","",OFFSET('SE Manifest'!$E$29,(ROW(M18)-1)*3,0)&amp;CHAR(10)&amp;OFFSET('SE Manifest'!$E$30,(ROW(M18)-1)*3,0)&amp;CHAR(10)&amp;OFFSET('SE Manifest'!$E$31,(ROW(M18)-1)*3,0))</f>
        <v/>
      </c>
      <c r="N58" s="213"/>
      <c r="O58" s="213"/>
      <c r="P58" s="213"/>
      <c r="Q58" s="213"/>
      <c r="R58" s="213"/>
      <c r="S58" s="213"/>
      <c r="T58" s="213"/>
      <c r="U58" s="213"/>
      <c r="V58" s="213"/>
      <c r="W58" s="213"/>
      <c r="X58" s="213"/>
      <c r="Y58" s="213"/>
      <c r="Z58" s="213"/>
      <c r="AA58" s="213"/>
      <c r="AB58" s="213"/>
      <c r="AC58" s="213"/>
      <c r="AD58" s="213"/>
      <c r="AE58" s="214" t="str">
        <f ca="1">IF(OFFSET('SE Manifest'!$L$29,(ROW(AE18)-1)*3,0)="","",IF('SE Manifest'!$G$25="METRIC",FIXED(OFFSET('SE Manifest'!$L$29,(ROW(AE18)-1)*3,0),3)&amp;CHAR(10)&amp;FIXED(SUM(OFFSET('SE Manifest'!$L$29,(ROW(AE18)-1)*3,0)*2.20462),3),FIXED(OFFSET('SE Manifest'!$L$29,(ROW(AE18)-1)*3,0),3)&amp;CHAR(10)&amp;FIXED(SUM(OFFSET('SE Manifest'!$L$29,(ROW(AE18)-1)*3,0)*0.453592),3)))</f>
        <v/>
      </c>
      <c r="AF58" s="215"/>
      <c r="AG58" s="215"/>
      <c r="AH58" s="146" t="str">
        <f ca="1">IF(OFFSET('SE Manifest'!$L$29,(ROW(AE18)-1)*3,0)="","",IF('SE Manifest'!$G$25="","",IF('SE Manifest'!$G$25="METRIC","KG"&amp;CHAR(10)&amp;"LBS","LBS"&amp;CHAR(10)&amp;"KG")))</f>
        <v/>
      </c>
      <c r="AI58" s="216" t="str">
        <f ca="1">IF(OFFSET('SE Manifest'!$N$29,(ROW(AI18)-1)*3,0)="","",IF('SE Manifest'!$G$25="METRIC",FIXED(OFFSET('SE Manifest'!$N$29,(ROW(AI18)-1)*3,0),4)&amp;CHAR(10)&amp;FIXED(SUM(OFFSET('SE Manifest'!$N$29,(ROW(AI18)-1)*3,0)*35.3147),4),FIXED(OFFSET('SE Manifest'!$N$29,(ROW(AI18)-1)*3,0),4)&amp;CHAR(10)&amp;FIXED(SUM(OFFSET('SE Manifest'!$N$29,(ROW(AI18)-1)*3,0)*0.0283168),4)))</f>
        <v/>
      </c>
      <c r="AJ58" s="217"/>
      <c r="AK58" s="147" t="str">
        <f ca="1">IF(OFFSET('SE Manifest'!$N$29,(ROW(AI18)-1)*3,0)="","",IF('SE Manifest'!$G$25="","",IF('SE Manifest'!$G$25="METRIC","CBM"&amp;CHAR(10)&amp;"CFT","CFT"&amp;CHAR(10)&amp;"CBM")))</f>
        <v/>
      </c>
      <c r="AL58" s="12"/>
    </row>
    <row r="59" spans="1:38" ht="129.94999999999999" hidden="1" customHeight="1">
      <c r="A59" s="12"/>
      <c r="B59" s="121"/>
      <c r="C59" s="213" t="str">
        <f ca="1">IF(OFFSET('SE Manifest'!$A$30,(ROW(C19)-1)*3,0)="","",OFFSET('SE Manifest'!$A$30,(ROW(C19)-1)*3,0))</f>
        <v/>
      </c>
      <c r="D59" s="213"/>
      <c r="E59" s="213"/>
      <c r="F59" s="122"/>
      <c r="G59" s="123"/>
      <c r="H59" s="145" t="str">
        <f ca="1">IF(OFFSET('SE Manifest'!$C$29,(ROW(H19)-1)*3,0)="","",OFFSET('SE Manifest'!$C$29,(ROW(H19)-1)*3,0))</f>
        <v/>
      </c>
      <c r="I59" s="124" t="str">
        <f t="shared" ca="1" si="0"/>
        <v/>
      </c>
      <c r="J59" s="145" t="str">
        <f ca="1">IF(OFFSET('SE Manifest'!$D$29,(ROW(J19)-1)*3,0)="","",OFFSET('SE Manifest'!$D$29,(ROW(J19)-1)*3,0))</f>
        <v/>
      </c>
      <c r="K59" s="122"/>
      <c r="L59" s="123"/>
      <c r="M59" s="213" t="str">
        <f ca="1">IF(OFFSET('SE Manifest'!$E$29,(ROW(M19)-1)*3,0)="","",OFFSET('SE Manifest'!$E$29,(ROW(M19)-1)*3,0)&amp;CHAR(10)&amp;OFFSET('SE Manifest'!$E$30,(ROW(M19)-1)*3,0)&amp;CHAR(10)&amp;OFFSET('SE Manifest'!$E$31,(ROW(M19)-1)*3,0))</f>
        <v/>
      </c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4" t="str">
        <f ca="1">IF(OFFSET('SE Manifest'!$L$29,(ROW(AE19)-1)*3,0)="","",IF('SE Manifest'!$G$25="METRIC",FIXED(OFFSET('SE Manifest'!$L$29,(ROW(AE19)-1)*3,0),3)&amp;CHAR(10)&amp;FIXED(SUM(OFFSET('SE Manifest'!$L$29,(ROW(AE19)-1)*3,0)*2.20462),3),FIXED(OFFSET('SE Manifest'!$L$29,(ROW(AE19)-1)*3,0),3)&amp;CHAR(10)&amp;FIXED(SUM(OFFSET('SE Manifest'!$L$29,(ROW(AE19)-1)*3,0)*0.453592),3)))</f>
        <v/>
      </c>
      <c r="AF59" s="215"/>
      <c r="AG59" s="215"/>
      <c r="AH59" s="146" t="str">
        <f ca="1">IF(OFFSET('SE Manifest'!$L$29,(ROW(AE19)-1)*3,0)="","",IF('SE Manifest'!$G$25="","",IF('SE Manifest'!$G$25="METRIC","KG"&amp;CHAR(10)&amp;"LBS","LBS"&amp;CHAR(10)&amp;"KG")))</f>
        <v/>
      </c>
      <c r="AI59" s="216" t="str">
        <f ca="1">IF(OFFSET('SE Manifest'!$N$29,(ROW(AI19)-1)*3,0)="","",IF('SE Manifest'!$G$25="METRIC",FIXED(OFFSET('SE Manifest'!$N$29,(ROW(AI19)-1)*3,0),4)&amp;CHAR(10)&amp;FIXED(SUM(OFFSET('SE Manifest'!$N$29,(ROW(AI19)-1)*3,0)*35.3147),4),FIXED(OFFSET('SE Manifest'!$N$29,(ROW(AI19)-1)*3,0),4)&amp;CHAR(10)&amp;FIXED(SUM(OFFSET('SE Manifest'!$N$29,(ROW(AI19)-1)*3,0)*0.0283168),4)))</f>
        <v/>
      </c>
      <c r="AJ59" s="217"/>
      <c r="AK59" s="147" t="str">
        <f ca="1">IF(OFFSET('SE Manifest'!$N$29,(ROW(AI19)-1)*3,0)="","",IF('SE Manifest'!$G$25="","",IF('SE Manifest'!$G$25="METRIC","CBM"&amp;CHAR(10)&amp;"CFT","CFT"&amp;CHAR(10)&amp;"CBM")))</f>
        <v/>
      </c>
      <c r="AL59" s="12"/>
    </row>
    <row r="60" spans="1:38" ht="129.94999999999999" hidden="1" customHeight="1">
      <c r="A60" s="12"/>
      <c r="B60" s="121"/>
      <c r="C60" s="213" t="str">
        <f ca="1">IF(OFFSET('SE Manifest'!$A$30,(ROW(C20)-1)*3,0)="","",OFFSET('SE Manifest'!$A$30,(ROW(C20)-1)*3,0))</f>
        <v/>
      </c>
      <c r="D60" s="213"/>
      <c r="E60" s="213"/>
      <c r="F60" s="122"/>
      <c r="G60" s="123"/>
      <c r="H60" s="145" t="str">
        <f ca="1">IF(OFFSET('SE Manifest'!$C$29,(ROW(H20)-1)*3,0)="","",OFFSET('SE Manifest'!$C$29,(ROW(H20)-1)*3,0))</f>
        <v/>
      </c>
      <c r="I60" s="124" t="str">
        <f t="shared" ca="1" si="0"/>
        <v/>
      </c>
      <c r="J60" s="145" t="str">
        <f ca="1">IF(OFFSET('SE Manifest'!$D$29,(ROW(J20)-1)*3,0)="","",OFFSET('SE Manifest'!$D$29,(ROW(J20)-1)*3,0))</f>
        <v/>
      </c>
      <c r="K60" s="122"/>
      <c r="L60" s="123"/>
      <c r="M60" s="213" t="str">
        <f ca="1">IF(OFFSET('SE Manifest'!$E$29,(ROW(M20)-1)*3,0)="","",OFFSET('SE Manifest'!$E$29,(ROW(M20)-1)*3,0)&amp;CHAR(10)&amp;OFFSET('SE Manifest'!$E$30,(ROW(M20)-1)*3,0)&amp;CHAR(10)&amp;OFFSET('SE Manifest'!$E$31,(ROW(M20)-1)*3,0))</f>
        <v/>
      </c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  <c r="AC60" s="213"/>
      <c r="AD60" s="213"/>
      <c r="AE60" s="214" t="str">
        <f ca="1">IF(OFFSET('SE Manifest'!$L$29,(ROW(AE20)-1)*3,0)="","",IF('SE Manifest'!$G$25="METRIC",FIXED(OFFSET('SE Manifest'!$L$29,(ROW(AE20)-1)*3,0),3)&amp;CHAR(10)&amp;FIXED(SUM(OFFSET('SE Manifest'!$L$29,(ROW(AE20)-1)*3,0)*2.20462),3),FIXED(OFFSET('SE Manifest'!$L$29,(ROW(AE20)-1)*3,0),3)&amp;CHAR(10)&amp;FIXED(SUM(OFFSET('SE Manifest'!$L$29,(ROW(AE20)-1)*3,0)*0.453592),3)))</f>
        <v/>
      </c>
      <c r="AF60" s="215"/>
      <c r="AG60" s="215"/>
      <c r="AH60" s="146" t="str">
        <f ca="1">IF(OFFSET('SE Manifest'!$L$29,(ROW(AE20)-1)*3,0)="","",IF('SE Manifest'!$G$25="","",IF('SE Manifest'!$G$25="METRIC","KG"&amp;CHAR(10)&amp;"LBS","LBS"&amp;CHAR(10)&amp;"KG")))</f>
        <v/>
      </c>
      <c r="AI60" s="216" t="str">
        <f ca="1">IF(OFFSET('SE Manifest'!$N$29,(ROW(AI20)-1)*3,0)="","",IF('SE Manifest'!$G$25="METRIC",FIXED(OFFSET('SE Manifest'!$N$29,(ROW(AI20)-1)*3,0),4)&amp;CHAR(10)&amp;FIXED(SUM(OFFSET('SE Manifest'!$N$29,(ROW(AI20)-1)*3,0)*35.3147),4),FIXED(OFFSET('SE Manifest'!$N$29,(ROW(AI20)-1)*3,0),4)&amp;CHAR(10)&amp;FIXED(SUM(OFFSET('SE Manifest'!$N$29,(ROW(AI20)-1)*3,0)*0.0283168),4)))</f>
        <v/>
      </c>
      <c r="AJ60" s="217"/>
      <c r="AK60" s="147" t="str">
        <f ca="1">IF(OFFSET('SE Manifest'!$N$29,(ROW(AI20)-1)*3,0)="","",IF('SE Manifest'!$G$25="","",IF('SE Manifest'!$G$25="METRIC","CBM"&amp;CHAR(10)&amp;"CFT","CFT"&amp;CHAR(10)&amp;"CBM")))</f>
        <v/>
      </c>
      <c r="AL60" s="12"/>
    </row>
    <row r="61" spans="1:38" ht="129.94999999999999" hidden="1" customHeight="1">
      <c r="A61" s="12"/>
      <c r="B61" s="121"/>
      <c r="C61" s="213" t="str">
        <f ca="1">IF(OFFSET('SE Manifest'!$A$30,(ROW(C21)-1)*3,0)="","",OFFSET('SE Manifest'!$A$30,(ROW(C21)-1)*3,0))</f>
        <v/>
      </c>
      <c r="D61" s="213"/>
      <c r="E61" s="213"/>
      <c r="F61" s="122"/>
      <c r="G61" s="123"/>
      <c r="H61" s="145" t="str">
        <f ca="1">IF(OFFSET('SE Manifest'!$C$29,(ROW(H21)-1)*3,0)="","",OFFSET('SE Manifest'!$C$29,(ROW(H21)-1)*3,0))</f>
        <v/>
      </c>
      <c r="I61" s="124" t="str">
        <f t="shared" ca="1" si="0"/>
        <v/>
      </c>
      <c r="J61" s="145" t="str">
        <f ca="1">IF(OFFSET('SE Manifest'!$D$29,(ROW(J21)-1)*3,0)="","",OFFSET('SE Manifest'!$D$29,(ROW(J21)-1)*3,0))</f>
        <v/>
      </c>
      <c r="K61" s="122"/>
      <c r="L61" s="123"/>
      <c r="M61" s="213" t="str">
        <f ca="1">IF(OFFSET('SE Manifest'!$E$29,(ROW(M21)-1)*3,0)="","",OFFSET('SE Manifest'!$E$29,(ROW(M21)-1)*3,0)&amp;CHAR(10)&amp;OFFSET('SE Manifest'!$E$30,(ROW(M21)-1)*3,0)&amp;CHAR(10)&amp;OFFSET('SE Manifest'!$E$31,(ROW(M21)-1)*3,0))</f>
        <v/>
      </c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  <c r="Z61" s="213"/>
      <c r="AA61" s="213"/>
      <c r="AB61" s="213"/>
      <c r="AC61" s="213"/>
      <c r="AD61" s="213"/>
      <c r="AE61" s="214" t="str">
        <f ca="1">IF(OFFSET('SE Manifest'!$L$29,(ROW(AE21)-1)*3,0)="","",IF('SE Manifest'!$G$25="METRIC",FIXED(OFFSET('SE Manifest'!$L$29,(ROW(AE21)-1)*3,0),3)&amp;CHAR(10)&amp;FIXED(SUM(OFFSET('SE Manifest'!$L$29,(ROW(AE21)-1)*3,0)*2.20462),3),FIXED(OFFSET('SE Manifest'!$L$29,(ROW(AE21)-1)*3,0),3)&amp;CHAR(10)&amp;FIXED(SUM(OFFSET('SE Manifest'!$L$29,(ROW(AE21)-1)*3,0)*0.453592),3)))</f>
        <v/>
      </c>
      <c r="AF61" s="215"/>
      <c r="AG61" s="215"/>
      <c r="AH61" s="146" t="str">
        <f ca="1">IF(OFFSET('SE Manifest'!$L$29,(ROW(AE21)-1)*3,0)="","",IF('SE Manifest'!$G$25="","",IF('SE Manifest'!$G$25="METRIC","KG"&amp;CHAR(10)&amp;"LBS","LBS"&amp;CHAR(10)&amp;"KG")))</f>
        <v/>
      </c>
      <c r="AI61" s="216" t="str">
        <f ca="1">IF(OFFSET('SE Manifest'!$N$29,(ROW(AI21)-1)*3,0)="","",IF('SE Manifest'!$G$25="METRIC",FIXED(OFFSET('SE Manifest'!$N$29,(ROW(AI21)-1)*3,0),4)&amp;CHAR(10)&amp;FIXED(SUM(OFFSET('SE Manifest'!$N$29,(ROW(AI21)-1)*3,0)*35.3147),4),FIXED(OFFSET('SE Manifest'!$N$29,(ROW(AI21)-1)*3,0),4)&amp;CHAR(10)&amp;FIXED(SUM(OFFSET('SE Manifest'!$N$29,(ROW(AI21)-1)*3,0)*0.0283168),4)))</f>
        <v/>
      </c>
      <c r="AJ61" s="217"/>
      <c r="AK61" s="147" t="str">
        <f ca="1">IF(OFFSET('SE Manifest'!$N$29,(ROW(AI21)-1)*3,0)="","",IF('SE Manifest'!$G$25="","",IF('SE Manifest'!$G$25="METRIC","CBM"&amp;CHAR(10)&amp;"CFT","CFT"&amp;CHAR(10)&amp;"CBM")))</f>
        <v/>
      </c>
      <c r="AL61" s="12"/>
    </row>
    <row r="62" spans="1:38" ht="129.94999999999999" hidden="1" customHeight="1">
      <c r="A62" s="12"/>
      <c r="B62" s="121"/>
      <c r="C62" s="213" t="str">
        <f ca="1">IF(OFFSET('SE Manifest'!$A$30,(ROW(C22)-1)*3,0)="","",OFFSET('SE Manifest'!$A$30,(ROW(C22)-1)*3,0))</f>
        <v/>
      </c>
      <c r="D62" s="213"/>
      <c r="E62" s="213"/>
      <c r="F62" s="122"/>
      <c r="G62" s="123"/>
      <c r="H62" s="145" t="str">
        <f ca="1">IF(OFFSET('SE Manifest'!$C$29,(ROW(H22)-1)*3,0)="","",OFFSET('SE Manifest'!$C$29,(ROW(H22)-1)*3,0))</f>
        <v/>
      </c>
      <c r="I62" s="124" t="str">
        <f t="shared" ca="1" si="0"/>
        <v/>
      </c>
      <c r="J62" s="145" t="str">
        <f ca="1">IF(OFFSET('SE Manifest'!$D$29,(ROW(J22)-1)*3,0)="","",OFFSET('SE Manifest'!$D$29,(ROW(J22)-1)*3,0))</f>
        <v/>
      </c>
      <c r="K62" s="122"/>
      <c r="L62" s="123"/>
      <c r="M62" s="213" t="str">
        <f ca="1">IF(OFFSET('SE Manifest'!$E$29,(ROW(M22)-1)*3,0)="","",OFFSET('SE Manifest'!$E$29,(ROW(M22)-1)*3,0)&amp;CHAR(10)&amp;OFFSET('SE Manifest'!$E$30,(ROW(M22)-1)*3,0)&amp;CHAR(10)&amp;OFFSET('SE Manifest'!$E$31,(ROW(M22)-1)*3,0))</f>
        <v/>
      </c>
      <c r="N62" s="213"/>
      <c r="O62" s="213"/>
      <c r="P62" s="213"/>
      <c r="Q62" s="213"/>
      <c r="R62" s="213"/>
      <c r="S62" s="213"/>
      <c r="T62" s="213"/>
      <c r="U62" s="213"/>
      <c r="V62" s="213"/>
      <c r="W62" s="213"/>
      <c r="X62" s="213"/>
      <c r="Y62" s="213"/>
      <c r="Z62" s="213"/>
      <c r="AA62" s="213"/>
      <c r="AB62" s="213"/>
      <c r="AC62" s="213"/>
      <c r="AD62" s="213"/>
      <c r="AE62" s="214" t="str">
        <f ca="1">IF(OFFSET('SE Manifest'!$L$29,(ROW(AE22)-1)*3,0)="","",IF('SE Manifest'!$G$25="METRIC",FIXED(OFFSET('SE Manifest'!$L$29,(ROW(AE22)-1)*3,0),3)&amp;CHAR(10)&amp;FIXED(SUM(OFFSET('SE Manifest'!$L$29,(ROW(AE22)-1)*3,0)*2.20462),3),FIXED(OFFSET('SE Manifest'!$L$29,(ROW(AE22)-1)*3,0),3)&amp;CHAR(10)&amp;FIXED(SUM(OFFSET('SE Manifest'!$L$29,(ROW(AE22)-1)*3,0)*0.453592),3)))</f>
        <v/>
      </c>
      <c r="AF62" s="215"/>
      <c r="AG62" s="215"/>
      <c r="AH62" s="146" t="str">
        <f ca="1">IF(OFFSET('SE Manifest'!$L$29,(ROW(AE22)-1)*3,0)="","",IF('SE Manifest'!$G$25="","",IF('SE Manifest'!$G$25="METRIC","KG"&amp;CHAR(10)&amp;"LBS","LBS"&amp;CHAR(10)&amp;"KG")))</f>
        <v/>
      </c>
      <c r="AI62" s="216" t="str">
        <f ca="1">IF(OFFSET('SE Manifest'!$N$29,(ROW(AI22)-1)*3,0)="","",IF('SE Manifest'!$G$25="METRIC",FIXED(OFFSET('SE Manifest'!$N$29,(ROW(AI22)-1)*3,0),4)&amp;CHAR(10)&amp;FIXED(SUM(OFFSET('SE Manifest'!$N$29,(ROW(AI22)-1)*3,0)*35.3147),4),FIXED(OFFSET('SE Manifest'!$N$29,(ROW(AI22)-1)*3,0),4)&amp;CHAR(10)&amp;FIXED(SUM(OFFSET('SE Manifest'!$N$29,(ROW(AI22)-1)*3,0)*0.0283168),4)))</f>
        <v/>
      </c>
      <c r="AJ62" s="217"/>
      <c r="AK62" s="147" t="str">
        <f ca="1">IF(OFFSET('SE Manifest'!$N$29,(ROW(AI22)-1)*3,0)="","",IF('SE Manifest'!$G$25="","",IF('SE Manifest'!$G$25="METRIC","CBM"&amp;CHAR(10)&amp;"CFT","CFT"&amp;CHAR(10)&amp;"CBM")))</f>
        <v/>
      </c>
      <c r="AL62" s="12"/>
    </row>
    <row r="63" spans="1:38" ht="129.94999999999999" hidden="1" customHeight="1">
      <c r="A63" s="12"/>
      <c r="B63" s="121"/>
      <c r="C63" s="213" t="str">
        <f ca="1">IF(OFFSET('SE Manifest'!$A$30,(ROW(C23)-1)*3,0)="","",OFFSET('SE Manifest'!$A$30,(ROW(C23)-1)*3,0))</f>
        <v/>
      </c>
      <c r="D63" s="213"/>
      <c r="E63" s="213"/>
      <c r="F63" s="122"/>
      <c r="G63" s="123"/>
      <c r="H63" s="145" t="str">
        <f ca="1">IF(OFFSET('SE Manifest'!$C$29,(ROW(H23)-1)*3,0)="","",OFFSET('SE Manifest'!$C$29,(ROW(H23)-1)*3,0))</f>
        <v/>
      </c>
      <c r="I63" s="124" t="str">
        <f t="shared" ca="1" si="0"/>
        <v/>
      </c>
      <c r="J63" s="145" t="str">
        <f ca="1">IF(OFFSET('SE Manifest'!$D$29,(ROW(J23)-1)*3,0)="","",OFFSET('SE Manifest'!$D$29,(ROW(J23)-1)*3,0))</f>
        <v/>
      </c>
      <c r="K63" s="122"/>
      <c r="L63" s="123"/>
      <c r="M63" s="213" t="str">
        <f ca="1">IF(OFFSET('SE Manifest'!$E$29,(ROW(M23)-1)*3,0)="","",OFFSET('SE Manifest'!$E$29,(ROW(M23)-1)*3,0)&amp;CHAR(10)&amp;OFFSET('SE Manifest'!$E$30,(ROW(M23)-1)*3,0)&amp;CHAR(10)&amp;OFFSET('SE Manifest'!$E$31,(ROW(M23)-1)*3,0))</f>
        <v/>
      </c>
      <c r="N63" s="213"/>
      <c r="O63" s="213"/>
      <c r="P63" s="213"/>
      <c r="Q63" s="213"/>
      <c r="R63" s="213"/>
      <c r="S63" s="213"/>
      <c r="T63" s="213"/>
      <c r="U63" s="213"/>
      <c r="V63" s="213"/>
      <c r="W63" s="213"/>
      <c r="X63" s="213"/>
      <c r="Y63" s="213"/>
      <c r="Z63" s="213"/>
      <c r="AA63" s="213"/>
      <c r="AB63" s="213"/>
      <c r="AC63" s="213"/>
      <c r="AD63" s="213"/>
      <c r="AE63" s="214" t="str">
        <f ca="1">IF(OFFSET('SE Manifest'!$L$29,(ROW(AE23)-1)*3,0)="","",IF('SE Manifest'!$G$25="METRIC",FIXED(OFFSET('SE Manifest'!$L$29,(ROW(AE23)-1)*3,0),3)&amp;CHAR(10)&amp;FIXED(SUM(OFFSET('SE Manifest'!$L$29,(ROW(AE23)-1)*3,0)*2.20462),3),FIXED(OFFSET('SE Manifest'!$L$29,(ROW(AE23)-1)*3,0),3)&amp;CHAR(10)&amp;FIXED(SUM(OFFSET('SE Manifest'!$L$29,(ROW(AE23)-1)*3,0)*0.453592),3)))</f>
        <v/>
      </c>
      <c r="AF63" s="215"/>
      <c r="AG63" s="215"/>
      <c r="AH63" s="146" t="str">
        <f ca="1">IF(OFFSET('SE Manifest'!$L$29,(ROW(AE23)-1)*3,0)="","",IF('SE Manifest'!$G$25="","",IF('SE Manifest'!$G$25="METRIC","KG"&amp;CHAR(10)&amp;"LBS","LBS"&amp;CHAR(10)&amp;"KG")))</f>
        <v/>
      </c>
      <c r="AI63" s="216" t="str">
        <f ca="1">IF(OFFSET('SE Manifest'!$N$29,(ROW(AI23)-1)*3,0)="","",IF('SE Manifest'!$G$25="METRIC",FIXED(OFFSET('SE Manifest'!$N$29,(ROW(AI23)-1)*3,0),4)&amp;CHAR(10)&amp;FIXED(SUM(OFFSET('SE Manifest'!$N$29,(ROW(AI23)-1)*3,0)*35.3147),4),FIXED(OFFSET('SE Manifest'!$N$29,(ROW(AI23)-1)*3,0),4)&amp;CHAR(10)&amp;FIXED(SUM(OFFSET('SE Manifest'!$N$29,(ROW(AI23)-1)*3,0)*0.0283168),4)))</f>
        <v/>
      </c>
      <c r="AJ63" s="217"/>
      <c r="AK63" s="147" t="str">
        <f ca="1">IF(OFFSET('SE Manifest'!$N$29,(ROW(AI23)-1)*3,0)="","",IF('SE Manifest'!$G$25="","",IF('SE Manifest'!$G$25="METRIC","CBM"&amp;CHAR(10)&amp;"CFT","CFT"&amp;CHAR(10)&amp;"CBM")))</f>
        <v/>
      </c>
      <c r="AL63" s="12"/>
    </row>
    <row r="64" spans="1:38" ht="129.94999999999999" hidden="1" customHeight="1">
      <c r="A64" s="12"/>
      <c r="B64" s="121"/>
      <c r="C64" s="213" t="str">
        <f ca="1">IF(OFFSET('SE Manifest'!$A$30,(ROW(C24)-1)*3,0)="","",OFFSET('SE Manifest'!$A$30,(ROW(C24)-1)*3,0))</f>
        <v/>
      </c>
      <c r="D64" s="213"/>
      <c r="E64" s="213"/>
      <c r="F64" s="122"/>
      <c r="G64" s="123"/>
      <c r="H64" s="145" t="str">
        <f ca="1">IF(OFFSET('SE Manifest'!$C$29,(ROW(H24)-1)*3,0)="","",OFFSET('SE Manifest'!$C$29,(ROW(H24)-1)*3,0))</f>
        <v/>
      </c>
      <c r="I64" s="124" t="str">
        <f t="shared" ca="1" si="0"/>
        <v/>
      </c>
      <c r="J64" s="145" t="str">
        <f ca="1">IF(OFFSET('SE Manifest'!$D$29,(ROW(J24)-1)*3,0)="","",OFFSET('SE Manifest'!$D$29,(ROW(J24)-1)*3,0))</f>
        <v/>
      </c>
      <c r="K64" s="122"/>
      <c r="L64" s="123"/>
      <c r="M64" s="213" t="str">
        <f ca="1">IF(OFFSET('SE Manifest'!$E$29,(ROW(M24)-1)*3,0)="","",OFFSET('SE Manifest'!$E$29,(ROW(M24)-1)*3,0)&amp;CHAR(10)&amp;OFFSET('SE Manifest'!$E$30,(ROW(M24)-1)*3,0)&amp;CHAR(10)&amp;OFFSET('SE Manifest'!$E$31,(ROW(M24)-1)*3,0))</f>
        <v/>
      </c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4" t="str">
        <f ca="1">IF(OFFSET('SE Manifest'!$L$29,(ROW(AE24)-1)*3,0)="","",IF('SE Manifest'!$G$25="METRIC",FIXED(OFFSET('SE Manifest'!$L$29,(ROW(AE24)-1)*3,0),3)&amp;CHAR(10)&amp;FIXED(SUM(OFFSET('SE Manifest'!$L$29,(ROW(AE24)-1)*3,0)*2.20462),3),FIXED(OFFSET('SE Manifest'!$L$29,(ROW(AE24)-1)*3,0),3)&amp;CHAR(10)&amp;FIXED(SUM(OFFSET('SE Manifest'!$L$29,(ROW(AE24)-1)*3,0)*0.453592),3)))</f>
        <v/>
      </c>
      <c r="AF64" s="215"/>
      <c r="AG64" s="215"/>
      <c r="AH64" s="146" t="str">
        <f ca="1">IF(OFFSET('SE Manifest'!$L$29,(ROW(AE24)-1)*3,0)="","",IF('SE Manifest'!$G$25="","",IF('SE Manifest'!$G$25="METRIC","KG"&amp;CHAR(10)&amp;"LBS","LBS"&amp;CHAR(10)&amp;"KG")))</f>
        <v/>
      </c>
      <c r="AI64" s="216" t="str">
        <f ca="1">IF(OFFSET('SE Manifest'!$N$29,(ROW(AI24)-1)*3,0)="","",IF('SE Manifest'!$G$25="METRIC",FIXED(OFFSET('SE Manifest'!$N$29,(ROW(AI24)-1)*3,0),4)&amp;CHAR(10)&amp;FIXED(SUM(OFFSET('SE Manifest'!$N$29,(ROW(AI24)-1)*3,0)*35.3147),4),FIXED(OFFSET('SE Manifest'!$N$29,(ROW(AI24)-1)*3,0),4)&amp;CHAR(10)&amp;FIXED(SUM(OFFSET('SE Manifest'!$N$29,(ROW(AI24)-1)*3,0)*0.0283168),4)))</f>
        <v/>
      </c>
      <c r="AJ64" s="217"/>
      <c r="AK64" s="147" t="str">
        <f ca="1">IF(OFFSET('SE Manifest'!$N$29,(ROW(AI24)-1)*3,0)="","",IF('SE Manifest'!$G$25="","",IF('SE Manifest'!$G$25="METRIC","CBM"&amp;CHAR(10)&amp;"CFT","CFT"&amp;CHAR(10)&amp;"CBM")))</f>
        <v/>
      </c>
      <c r="AL64" s="12"/>
    </row>
    <row r="65" spans="1:38" ht="129.94999999999999" hidden="1" customHeight="1">
      <c r="A65" s="12"/>
      <c r="B65" s="121"/>
      <c r="C65" s="213" t="str">
        <f ca="1">IF(OFFSET('SE Manifest'!$A$30,(ROW(C25)-1)*3,0)="","",OFFSET('SE Manifest'!$A$30,(ROW(C25)-1)*3,0))</f>
        <v/>
      </c>
      <c r="D65" s="213"/>
      <c r="E65" s="213"/>
      <c r="F65" s="122"/>
      <c r="G65" s="123"/>
      <c r="H65" s="145" t="str">
        <f ca="1">IF(OFFSET('SE Manifest'!$C$29,(ROW(H25)-1)*3,0)="","",OFFSET('SE Manifest'!$C$29,(ROW(H25)-1)*3,0))</f>
        <v/>
      </c>
      <c r="I65" s="124" t="str">
        <f t="shared" ca="1" si="0"/>
        <v/>
      </c>
      <c r="J65" s="145" t="str">
        <f ca="1">IF(OFFSET('SE Manifest'!$D$29,(ROW(J25)-1)*3,0)="","",OFFSET('SE Manifest'!$D$29,(ROW(J25)-1)*3,0))</f>
        <v/>
      </c>
      <c r="K65" s="122"/>
      <c r="L65" s="123"/>
      <c r="M65" s="213" t="str">
        <f ca="1">IF(OFFSET('SE Manifest'!$E$29,(ROW(M25)-1)*3,0)="","",OFFSET('SE Manifest'!$E$29,(ROW(M25)-1)*3,0)&amp;CHAR(10)&amp;OFFSET('SE Manifest'!$E$30,(ROW(M25)-1)*3,0)&amp;CHAR(10)&amp;OFFSET('SE Manifest'!$E$31,(ROW(M25)-1)*3,0))</f>
        <v/>
      </c>
      <c r="N65" s="213"/>
      <c r="O65" s="213"/>
      <c r="P65" s="213"/>
      <c r="Q65" s="213"/>
      <c r="R65" s="213"/>
      <c r="S65" s="213"/>
      <c r="T65" s="213"/>
      <c r="U65" s="213"/>
      <c r="V65" s="213"/>
      <c r="W65" s="213"/>
      <c r="X65" s="213"/>
      <c r="Y65" s="213"/>
      <c r="Z65" s="213"/>
      <c r="AA65" s="213"/>
      <c r="AB65" s="213"/>
      <c r="AC65" s="213"/>
      <c r="AD65" s="213"/>
      <c r="AE65" s="214" t="str">
        <f ca="1">IF(OFFSET('SE Manifest'!$L$29,(ROW(AE25)-1)*3,0)="","",IF('SE Manifest'!$G$25="METRIC",FIXED(OFFSET('SE Manifest'!$L$29,(ROW(AE25)-1)*3,0),3)&amp;CHAR(10)&amp;FIXED(SUM(OFFSET('SE Manifest'!$L$29,(ROW(AE25)-1)*3,0)*2.20462),3),FIXED(OFFSET('SE Manifest'!$L$29,(ROW(AE25)-1)*3,0),3)&amp;CHAR(10)&amp;FIXED(SUM(OFFSET('SE Manifest'!$L$29,(ROW(AE25)-1)*3,0)*0.453592),3)))</f>
        <v/>
      </c>
      <c r="AF65" s="215"/>
      <c r="AG65" s="215"/>
      <c r="AH65" s="146" t="str">
        <f ca="1">IF(OFFSET('SE Manifest'!$L$29,(ROW(AE25)-1)*3,0)="","",IF('SE Manifest'!$G$25="","",IF('SE Manifest'!$G$25="METRIC","KG"&amp;CHAR(10)&amp;"LBS","LBS"&amp;CHAR(10)&amp;"KG")))</f>
        <v/>
      </c>
      <c r="AI65" s="216" t="str">
        <f ca="1">IF(OFFSET('SE Manifest'!$N$29,(ROW(AI25)-1)*3,0)="","",IF('SE Manifest'!$G$25="METRIC",FIXED(OFFSET('SE Manifest'!$N$29,(ROW(AI25)-1)*3,0),4)&amp;CHAR(10)&amp;FIXED(SUM(OFFSET('SE Manifest'!$N$29,(ROW(AI25)-1)*3,0)*35.3147),4),FIXED(OFFSET('SE Manifest'!$N$29,(ROW(AI25)-1)*3,0),4)&amp;CHAR(10)&amp;FIXED(SUM(OFFSET('SE Manifest'!$N$29,(ROW(AI25)-1)*3,0)*0.0283168),4)))</f>
        <v/>
      </c>
      <c r="AJ65" s="217"/>
      <c r="AK65" s="147" t="str">
        <f ca="1">IF(OFFSET('SE Manifest'!$N$29,(ROW(AI25)-1)*3,0)="","",IF('SE Manifest'!$G$25="","",IF('SE Manifest'!$G$25="METRIC","CBM"&amp;CHAR(10)&amp;"CFT","CFT"&amp;CHAR(10)&amp;"CBM")))</f>
        <v/>
      </c>
      <c r="AL65" s="12"/>
    </row>
    <row r="66" spans="1:38" ht="129.94999999999999" hidden="1" customHeight="1">
      <c r="A66" s="12"/>
      <c r="B66" s="121"/>
      <c r="C66" s="213" t="str">
        <f ca="1">IF(OFFSET('SE Manifest'!$A$30,(ROW(C26)-1)*3,0)="","",OFFSET('SE Manifest'!$A$30,(ROW(C26)-1)*3,0))</f>
        <v/>
      </c>
      <c r="D66" s="213"/>
      <c r="E66" s="213"/>
      <c r="F66" s="122"/>
      <c r="G66" s="123"/>
      <c r="H66" s="145" t="str">
        <f ca="1">IF(OFFSET('SE Manifest'!$C$29,(ROW(H26)-1)*3,0)="","",OFFSET('SE Manifest'!$C$29,(ROW(H26)-1)*3,0))</f>
        <v/>
      </c>
      <c r="I66" s="124" t="str">
        <f t="shared" ca="1" si="0"/>
        <v/>
      </c>
      <c r="J66" s="145" t="str">
        <f ca="1">IF(OFFSET('SE Manifest'!$D$29,(ROW(J26)-1)*3,0)="","",OFFSET('SE Manifest'!$D$29,(ROW(J26)-1)*3,0))</f>
        <v/>
      </c>
      <c r="K66" s="122"/>
      <c r="L66" s="123"/>
      <c r="M66" s="213" t="str">
        <f ca="1">IF(OFFSET('SE Manifest'!$E$29,(ROW(M26)-1)*3,0)="","",OFFSET('SE Manifest'!$E$29,(ROW(M26)-1)*3,0)&amp;CHAR(10)&amp;OFFSET('SE Manifest'!$E$30,(ROW(M26)-1)*3,0)&amp;CHAR(10)&amp;OFFSET('SE Manifest'!$E$31,(ROW(M26)-1)*3,0))</f>
        <v/>
      </c>
      <c r="N66" s="213"/>
      <c r="O66" s="213"/>
      <c r="P66" s="213"/>
      <c r="Q66" s="213"/>
      <c r="R66" s="213"/>
      <c r="S66" s="213"/>
      <c r="T66" s="213"/>
      <c r="U66" s="213"/>
      <c r="V66" s="213"/>
      <c r="W66" s="213"/>
      <c r="X66" s="213"/>
      <c r="Y66" s="213"/>
      <c r="Z66" s="213"/>
      <c r="AA66" s="213"/>
      <c r="AB66" s="213"/>
      <c r="AC66" s="213"/>
      <c r="AD66" s="213"/>
      <c r="AE66" s="214" t="str">
        <f ca="1">IF(OFFSET('SE Manifest'!$L$29,(ROW(AE26)-1)*3,0)="","",IF('SE Manifest'!$G$25="METRIC",FIXED(OFFSET('SE Manifest'!$L$29,(ROW(AE26)-1)*3,0),3)&amp;CHAR(10)&amp;FIXED(SUM(OFFSET('SE Manifest'!$L$29,(ROW(AE26)-1)*3,0)*2.20462),3),FIXED(OFFSET('SE Manifest'!$L$29,(ROW(AE26)-1)*3,0),3)&amp;CHAR(10)&amp;FIXED(SUM(OFFSET('SE Manifest'!$L$29,(ROW(AE26)-1)*3,0)*0.453592),3)))</f>
        <v/>
      </c>
      <c r="AF66" s="215"/>
      <c r="AG66" s="215"/>
      <c r="AH66" s="146" t="str">
        <f ca="1">IF(OFFSET('SE Manifest'!$L$29,(ROW(AE26)-1)*3,0)="","",IF('SE Manifest'!$G$25="","",IF('SE Manifest'!$G$25="METRIC","KG"&amp;CHAR(10)&amp;"LBS","LBS"&amp;CHAR(10)&amp;"KG")))</f>
        <v/>
      </c>
      <c r="AI66" s="216" t="str">
        <f ca="1">IF(OFFSET('SE Manifest'!$N$29,(ROW(AI26)-1)*3,0)="","",IF('SE Manifest'!$G$25="METRIC",FIXED(OFFSET('SE Manifest'!$N$29,(ROW(AI26)-1)*3,0),4)&amp;CHAR(10)&amp;FIXED(SUM(OFFSET('SE Manifest'!$N$29,(ROW(AI26)-1)*3,0)*35.3147),4),FIXED(OFFSET('SE Manifest'!$N$29,(ROW(AI26)-1)*3,0),4)&amp;CHAR(10)&amp;FIXED(SUM(OFFSET('SE Manifest'!$N$29,(ROW(AI26)-1)*3,0)*0.0283168),4)))</f>
        <v/>
      </c>
      <c r="AJ66" s="217"/>
      <c r="AK66" s="147" t="str">
        <f ca="1">IF(OFFSET('SE Manifest'!$N$29,(ROW(AI26)-1)*3,0)="","",IF('SE Manifest'!$G$25="","",IF('SE Manifest'!$G$25="METRIC","CBM"&amp;CHAR(10)&amp;"CFT","CFT"&amp;CHAR(10)&amp;"CBM")))</f>
        <v/>
      </c>
      <c r="AL66" s="12"/>
    </row>
    <row r="67" spans="1:38" ht="129.94999999999999" hidden="1" customHeight="1">
      <c r="A67" s="12"/>
      <c r="B67" s="121"/>
      <c r="C67" s="213" t="str">
        <f ca="1">IF(OFFSET('SE Manifest'!$A$30,(ROW(C27)-1)*3,0)="","",OFFSET('SE Manifest'!$A$30,(ROW(C27)-1)*3,0))</f>
        <v/>
      </c>
      <c r="D67" s="213"/>
      <c r="E67" s="213"/>
      <c r="F67" s="122"/>
      <c r="G67" s="123"/>
      <c r="H67" s="145" t="str">
        <f ca="1">IF(OFFSET('SE Manifest'!$C$29,(ROW(H27)-1)*3,0)="","",OFFSET('SE Manifest'!$C$29,(ROW(H27)-1)*3,0))</f>
        <v/>
      </c>
      <c r="I67" s="124" t="str">
        <f t="shared" ca="1" si="0"/>
        <v/>
      </c>
      <c r="J67" s="145" t="str">
        <f ca="1">IF(OFFSET('SE Manifest'!$D$29,(ROW(J27)-1)*3,0)="","",OFFSET('SE Manifest'!$D$29,(ROW(J27)-1)*3,0))</f>
        <v/>
      </c>
      <c r="K67" s="122"/>
      <c r="L67" s="123"/>
      <c r="M67" s="213" t="str">
        <f ca="1">IF(OFFSET('SE Manifest'!$E$29,(ROW(M27)-1)*3,0)="","",OFFSET('SE Manifest'!$E$29,(ROW(M27)-1)*3,0)&amp;CHAR(10)&amp;OFFSET('SE Manifest'!$E$30,(ROW(M27)-1)*3,0)&amp;CHAR(10)&amp;OFFSET('SE Manifest'!$E$31,(ROW(M27)-1)*3,0))</f>
        <v/>
      </c>
      <c r="N67" s="213"/>
      <c r="O67" s="213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4" t="str">
        <f ca="1">IF(OFFSET('SE Manifest'!$L$29,(ROW(AE27)-1)*3,0)="","",IF('SE Manifest'!$G$25="METRIC",FIXED(OFFSET('SE Manifest'!$L$29,(ROW(AE27)-1)*3,0),3)&amp;CHAR(10)&amp;FIXED(SUM(OFFSET('SE Manifest'!$L$29,(ROW(AE27)-1)*3,0)*2.20462),3),FIXED(OFFSET('SE Manifest'!$L$29,(ROW(AE27)-1)*3,0),3)&amp;CHAR(10)&amp;FIXED(SUM(OFFSET('SE Manifest'!$L$29,(ROW(AE27)-1)*3,0)*0.453592),3)))</f>
        <v/>
      </c>
      <c r="AF67" s="215"/>
      <c r="AG67" s="215"/>
      <c r="AH67" s="146" t="str">
        <f ca="1">IF(OFFSET('SE Manifest'!$L$29,(ROW(AE27)-1)*3,0)="","",IF('SE Manifest'!$G$25="","",IF('SE Manifest'!$G$25="METRIC","KG"&amp;CHAR(10)&amp;"LBS","LBS"&amp;CHAR(10)&amp;"KG")))</f>
        <v/>
      </c>
      <c r="AI67" s="216" t="str">
        <f ca="1">IF(OFFSET('SE Manifest'!$N$29,(ROW(AI27)-1)*3,0)="","",IF('SE Manifest'!$G$25="METRIC",FIXED(OFFSET('SE Manifest'!$N$29,(ROW(AI27)-1)*3,0),4)&amp;CHAR(10)&amp;FIXED(SUM(OFFSET('SE Manifest'!$N$29,(ROW(AI27)-1)*3,0)*35.3147),4),FIXED(OFFSET('SE Manifest'!$N$29,(ROW(AI27)-1)*3,0),4)&amp;CHAR(10)&amp;FIXED(SUM(OFFSET('SE Manifest'!$N$29,(ROW(AI27)-1)*3,0)*0.0283168),4)))</f>
        <v/>
      </c>
      <c r="AJ67" s="217"/>
      <c r="AK67" s="147" t="str">
        <f ca="1">IF(OFFSET('SE Manifest'!$N$29,(ROW(AI27)-1)*3,0)="","",IF('SE Manifest'!$G$25="","",IF('SE Manifest'!$G$25="METRIC","CBM"&amp;CHAR(10)&amp;"CFT","CFT"&amp;CHAR(10)&amp;"CBM")))</f>
        <v/>
      </c>
      <c r="AL67" s="12"/>
    </row>
    <row r="68" spans="1:38" ht="129.94999999999999" hidden="1" customHeight="1">
      <c r="A68" s="12"/>
      <c r="B68" s="121"/>
      <c r="C68" s="213" t="str">
        <f ca="1">IF(OFFSET('SE Manifest'!$A$30,(ROW(C28)-1)*3,0)="","",OFFSET('SE Manifest'!$A$30,(ROW(C28)-1)*3,0))</f>
        <v/>
      </c>
      <c r="D68" s="213"/>
      <c r="E68" s="213"/>
      <c r="F68" s="122"/>
      <c r="G68" s="123"/>
      <c r="H68" s="145" t="str">
        <f ca="1">IF(OFFSET('SE Manifest'!$C$29,(ROW(H28)-1)*3,0)="","",OFFSET('SE Manifest'!$C$29,(ROW(H28)-1)*3,0))</f>
        <v/>
      </c>
      <c r="I68" s="124" t="str">
        <f t="shared" ca="1" si="0"/>
        <v/>
      </c>
      <c r="J68" s="145" t="str">
        <f ca="1">IF(OFFSET('SE Manifest'!$D$29,(ROW(J28)-1)*3,0)="","",OFFSET('SE Manifest'!$D$29,(ROW(J28)-1)*3,0))</f>
        <v/>
      </c>
      <c r="K68" s="122"/>
      <c r="L68" s="123"/>
      <c r="M68" s="213" t="str">
        <f ca="1">IF(OFFSET('SE Manifest'!$E$29,(ROW(M28)-1)*3,0)="","",OFFSET('SE Manifest'!$E$29,(ROW(M28)-1)*3,0)&amp;CHAR(10)&amp;OFFSET('SE Manifest'!$E$30,(ROW(M28)-1)*3,0)&amp;CHAR(10)&amp;OFFSET('SE Manifest'!$E$31,(ROW(M28)-1)*3,0))</f>
        <v/>
      </c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  <c r="AC68" s="213"/>
      <c r="AD68" s="213"/>
      <c r="AE68" s="214" t="str">
        <f ca="1">IF(OFFSET('SE Manifest'!$L$29,(ROW(AE28)-1)*3,0)="","",IF('SE Manifest'!$G$25="METRIC",FIXED(OFFSET('SE Manifest'!$L$29,(ROW(AE28)-1)*3,0),3)&amp;CHAR(10)&amp;FIXED(SUM(OFFSET('SE Manifest'!$L$29,(ROW(AE28)-1)*3,0)*2.20462),3),FIXED(OFFSET('SE Manifest'!$L$29,(ROW(AE28)-1)*3,0),3)&amp;CHAR(10)&amp;FIXED(SUM(OFFSET('SE Manifest'!$L$29,(ROW(AE28)-1)*3,0)*0.453592),3)))</f>
        <v/>
      </c>
      <c r="AF68" s="215"/>
      <c r="AG68" s="215"/>
      <c r="AH68" s="146" t="str">
        <f ca="1">IF(OFFSET('SE Manifest'!$L$29,(ROW(AE28)-1)*3,0)="","",IF('SE Manifest'!$G$25="","",IF('SE Manifest'!$G$25="METRIC","KG"&amp;CHAR(10)&amp;"LBS","LBS"&amp;CHAR(10)&amp;"KG")))</f>
        <v/>
      </c>
      <c r="AI68" s="216" t="str">
        <f ca="1">IF(OFFSET('SE Manifest'!$N$29,(ROW(AI28)-1)*3,0)="","",IF('SE Manifest'!$G$25="METRIC",FIXED(OFFSET('SE Manifest'!$N$29,(ROW(AI28)-1)*3,0),4)&amp;CHAR(10)&amp;FIXED(SUM(OFFSET('SE Manifest'!$N$29,(ROW(AI28)-1)*3,0)*35.3147),4),FIXED(OFFSET('SE Manifest'!$N$29,(ROW(AI28)-1)*3,0),4)&amp;CHAR(10)&amp;FIXED(SUM(OFFSET('SE Manifest'!$N$29,(ROW(AI28)-1)*3,0)*0.0283168),4)))</f>
        <v/>
      </c>
      <c r="AJ68" s="217"/>
      <c r="AK68" s="147" t="str">
        <f ca="1">IF(OFFSET('SE Manifest'!$N$29,(ROW(AI28)-1)*3,0)="","",IF('SE Manifest'!$G$25="","",IF('SE Manifest'!$G$25="METRIC","CBM"&amp;CHAR(10)&amp;"CFT","CFT"&amp;CHAR(10)&amp;"CBM")))</f>
        <v/>
      </c>
      <c r="AL68" s="12"/>
    </row>
    <row r="69" spans="1:38" ht="129.94999999999999" hidden="1" customHeight="1">
      <c r="A69" s="12"/>
      <c r="B69" s="121"/>
      <c r="C69" s="213" t="str">
        <f ca="1">IF(OFFSET('SE Manifest'!$A$30,(ROW(C29)-1)*3,0)="","",OFFSET('SE Manifest'!$A$30,(ROW(C29)-1)*3,0))</f>
        <v/>
      </c>
      <c r="D69" s="213"/>
      <c r="E69" s="213"/>
      <c r="F69" s="122"/>
      <c r="G69" s="123"/>
      <c r="H69" s="145" t="str">
        <f ca="1">IF(OFFSET('SE Manifest'!$C$29,(ROW(H29)-1)*3,0)="","",OFFSET('SE Manifest'!$C$29,(ROW(H29)-1)*3,0))</f>
        <v/>
      </c>
      <c r="I69" s="124" t="str">
        <f t="shared" ca="1" si="0"/>
        <v/>
      </c>
      <c r="J69" s="145" t="str">
        <f ca="1">IF(OFFSET('SE Manifest'!$D$29,(ROW(J29)-1)*3,0)="","",OFFSET('SE Manifest'!$D$29,(ROW(J29)-1)*3,0))</f>
        <v/>
      </c>
      <c r="K69" s="122"/>
      <c r="L69" s="123"/>
      <c r="M69" s="213" t="str">
        <f ca="1">IF(OFFSET('SE Manifest'!$E$29,(ROW(M29)-1)*3,0)="","",OFFSET('SE Manifest'!$E$29,(ROW(M29)-1)*3,0)&amp;CHAR(10)&amp;OFFSET('SE Manifest'!$E$30,(ROW(M29)-1)*3,0)&amp;CHAR(10)&amp;OFFSET('SE Manifest'!$E$31,(ROW(M29)-1)*3,0))</f>
        <v/>
      </c>
      <c r="N69" s="213"/>
      <c r="O69" s="213"/>
      <c r="P69" s="213"/>
      <c r="Q69" s="213"/>
      <c r="R69" s="213"/>
      <c r="S69" s="213"/>
      <c r="T69" s="213"/>
      <c r="U69" s="213"/>
      <c r="V69" s="213"/>
      <c r="W69" s="213"/>
      <c r="X69" s="213"/>
      <c r="Y69" s="213"/>
      <c r="Z69" s="213"/>
      <c r="AA69" s="213"/>
      <c r="AB69" s="213"/>
      <c r="AC69" s="213"/>
      <c r="AD69" s="213"/>
      <c r="AE69" s="214" t="str">
        <f ca="1">IF(OFFSET('SE Manifest'!$L$29,(ROW(AE29)-1)*3,0)="","",IF('SE Manifest'!$G$25="METRIC",FIXED(OFFSET('SE Manifest'!$L$29,(ROW(AE29)-1)*3,0),3)&amp;CHAR(10)&amp;FIXED(SUM(OFFSET('SE Manifest'!$L$29,(ROW(AE29)-1)*3,0)*2.20462),3),FIXED(OFFSET('SE Manifest'!$L$29,(ROW(AE29)-1)*3,0),3)&amp;CHAR(10)&amp;FIXED(SUM(OFFSET('SE Manifest'!$L$29,(ROW(AE29)-1)*3,0)*0.453592),3)))</f>
        <v/>
      </c>
      <c r="AF69" s="215"/>
      <c r="AG69" s="215"/>
      <c r="AH69" s="146" t="str">
        <f ca="1">IF(OFFSET('SE Manifest'!$L$29,(ROW(AE29)-1)*3,0)="","",IF('SE Manifest'!$G$25="","",IF('SE Manifest'!$G$25="METRIC","KG"&amp;CHAR(10)&amp;"LBS","LBS"&amp;CHAR(10)&amp;"KG")))</f>
        <v/>
      </c>
      <c r="AI69" s="216" t="str">
        <f ca="1">IF(OFFSET('SE Manifest'!$N$29,(ROW(AI29)-1)*3,0)="","",IF('SE Manifest'!$G$25="METRIC",FIXED(OFFSET('SE Manifest'!$N$29,(ROW(AI29)-1)*3,0),4)&amp;CHAR(10)&amp;FIXED(SUM(OFFSET('SE Manifest'!$N$29,(ROW(AI29)-1)*3,0)*35.3147),4),FIXED(OFFSET('SE Manifest'!$N$29,(ROW(AI29)-1)*3,0),4)&amp;CHAR(10)&amp;FIXED(SUM(OFFSET('SE Manifest'!$N$29,(ROW(AI29)-1)*3,0)*0.0283168),4)))</f>
        <v/>
      </c>
      <c r="AJ69" s="217"/>
      <c r="AK69" s="147" t="str">
        <f ca="1">IF(OFFSET('SE Manifest'!$N$29,(ROW(AI29)-1)*3,0)="","",IF('SE Manifest'!$G$25="","",IF('SE Manifest'!$G$25="METRIC","CBM"&amp;CHAR(10)&amp;"CFT","CFT"&amp;CHAR(10)&amp;"CBM")))</f>
        <v/>
      </c>
      <c r="AL69" s="12"/>
    </row>
    <row r="70" spans="1:38" ht="129.94999999999999" hidden="1" customHeight="1">
      <c r="A70" s="12"/>
      <c r="B70" s="121"/>
      <c r="C70" s="213" t="str">
        <f ca="1">IF(OFFSET('SE Manifest'!$A$30,(ROW(C30)-1)*3,0)="","",OFFSET('SE Manifest'!$A$30,(ROW(C30)-1)*3,0))</f>
        <v/>
      </c>
      <c r="D70" s="213"/>
      <c r="E70" s="213"/>
      <c r="F70" s="122"/>
      <c r="G70" s="123"/>
      <c r="H70" s="145" t="str">
        <f ca="1">IF(OFFSET('SE Manifest'!$C$29,(ROW(H30)-1)*3,0)="","",OFFSET('SE Manifest'!$C$29,(ROW(H30)-1)*3,0))</f>
        <v/>
      </c>
      <c r="I70" s="124" t="str">
        <f t="shared" ca="1" si="0"/>
        <v/>
      </c>
      <c r="J70" s="145" t="str">
        <f ca="1">IF(OFFSET('SE Manifest'!$D$29,(ROW(J30)-1)*3,0)="","",OFFSET('SE Manifest'!$D$29,(ROW(J30)-1)*3,0))</f>
        <v/>
      </c>
      <c r="K70" s="122"/>
      <c r="L70" s="123"/>
      <c r="M70" s="213" t="str">
        <f ca="1">IF(OFFSET('SE Manifest'!$E$29,(ROW(M30)-1)*3,0)="","",OFFSET('SE Manifest'!$E$29,(ROW(M30)-1)*3,0)&amp;CHAR(10)&amp;OFFSET('SE Manifest'!$E$30,(ROW(M30)-1)*3,0)&amp;CHAR(10)&amp;OFFSET('SE Manifest'!$E$31,(ROW(M30)-1)*3,0))</f>
        <v/>
      </c>
      <c r="N70" s="213"/>
      <c r="O70" s="213"/>
      <c r="P70" s="213"/>
      <c r="Q70" s="213"/>
      <c r="R70" s="213"/>
      <c r="S70" s="213"/>
      <c r="T70" s="213"/>
      <c r="U70" s="213"/>
      <c r="V70" s="213"/>
      <c r="W70" s="213"/>
      <c r="X70" s="213"/>
      <c r="Y70" s="213"/>
      <c r="Z70" s="213"/>
      <c r="AA70" s="213"/>
      <c r="AB70" s="213"/>
      <c r="AC70" s="213"/>
      <c r="AD70" s="213"/>
      <c r="AE70" s="214" t="str">
        <f ca="1">IF(OFFSET('SE Manifest'!$L$29,(ROW(AE30)-1)*3,0)="","",IF('SE Manifest'!$G$25="METRIC",FIXED(OFFSET('SE Manifest'!$L$29,(ROW(AE30)-1)*3,0),3)&amp;CHAR(10)&amp;FIXED(SUM(OFFSET('SE Manifest'!$L$29,(ROW(AE30)-1)*3,0)*2.20462),3),FIXED(OFFSET('SE Manifest'!$L$29,(ROW(AE30)-1)*3,0),3)&amp;CHAR(10)&amp;FIXED(SUM(OFFSET('SE Manifest'!$L$29,(ROW(AE30)-1)*3,0)*0.453592),3)))</f>
        <v/>
      </c>
      <c r="AF70" s="215"/>
      <c r="AG70" s="215"/>
      <c r="AH70" s="146" t="str">
        <f ca="1">IF(OFFSET('SE Manifest'!$L$29,(ROW(AE30)-1)*3,0)="","",IF('SE Manifest'!$G$25="","",IF('SE Manifest'!$G$25="METRIC","KG"&amp;CHAR(10)&amp;"LBS","LBS"&amp;CHAR(10)&amp;"KG")))</f>
        <v/>
      </c>
      <c r="AI70" s="216" t="str">
        <f ca="1">IF(OFFSET('SE Manifest'!$N$29,(ROW(AI30)-1)*3,0)="","",IF('SE Manifest'!$G$25="METRIC",FIXED(OFFSET('SE Manifest'!$N$29,(ROW(AI30)-1)*3,0),4)&amp;CHAR(10)&amp;FIXED(SUM(OFFSET('SE Manifest'!$N$29,(ROW(AI30)-1)*3,0)*35.3147),4),FIXED(OFFSET('SE Manifest'!$N$29,(ROW(AI30)-1)*3,0),4)&amp;CHAR(10)&amp;FIXED(SUM(OFFSET('SE Manifest'!$N$29,(ROW(AI30)-1)*3,0)*0.0283168),4)))</f>
        <v/>
      </c>
      <c r="AJ70" s="217"/>
      <c r="AK70" s="147" t="str">
        <f ca="1">IF(OFFSET('SE Manifest'!$N$29,(ROW(AI30)-1)*3,0)="","",IF('SE Manifest'!$G$25="","",IF('SE Manifest'!$G$25="METRIC","CBM"&amp;CHAR(10)&amp;"CFT","CFT"&amp;CHAR(10)&amp;"CBM")))</f>
        <v/>
      </c>
      <c r="AL70" s="12"/>
    </row>
    <row r="71" spans="1:38" ht="129.94999999999999" hidden="1" customHeight="1">
      <c r="A71" s="12"/>
      <c r="B71" s="121"/>
      <c r="C71" s="213" t="str">
        <f ca="1">IF(OFFSET('SE Manifest'!$A$30,(ROW(C31)-1)*3,0)="","",OFFSET('SE Manifest'!$A$30,(ROW(C31)-1)*3,0))</f>
        <v/>
      </c>
      <c r="D71" s="213"/>
      <c r="E71" s="213"/>
      <c r="F71" s="122"/>
      <c r="G71" s="123"/>
      <c r="H71" s="145" t="str">
        <f ca="1">IF(OFFSET('SE Manifest'!$C$29,(ROW(H31)-1)*3,0)="","",OFFSET('SE Manifest'!$C$29,(ROW(H31)-1)*3,0))</f>
        <v/>
      </c>
      <c r="I71" s="124" t="str">
        <f t="shared" ca="1" si="0"/>
        <v/>
      </c>
      <c r="J71" s="145" t="str">
        <f ca="1">IF(OFFSET('SE Manifest'!$D$29,(ROW(J31)-1)*3,0)="","",OFFSET('SE Manifest'!$D$29,(ROW(J31)-1)*3,0))</f>
        <v/>
      </c>
      <c r="K71" s="122"/>
      <c r="L71" s="123"/>
      <c r="M71" s="213" t="str">
        <f ca="1">IF(OFFSET('SE Manifest'!$E$29,(ROW(M31)-1)*3,0)="","",OFFSET('SE Manifest'!$E$29,(ROW(M31)-1)*3,0)&amp;CHAR(10)&amp;OFFSET('SE Manifest'!$E$30,(ROW(M31)-1)*3,0)&amp;CHAR(10)&amp;OFFSET('SE Manifest'!$E$31,(ROW(M31)-1)*3,0))</f>
        <v/>
      </c>
      <c r="N71" s="213"/>
      <c r="O71" s="213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E71" s="214" t="str">
        <f ca="1">IF(OFFSET('SE Manifest'!$L$29,(ROW(AE31)-1)*3,0)="","",IF('SE Manifest'!$G$25="METRIC",FIXED(OFFSET('SE Manifest'!$L$29,(ROW(AE31)-1)*3,0),3)&amp;CHAR(10)&amp;FIXED(SUM(OFFSET('SE Manifest'!$L$29,(ROW(AE31)-1)*3,0)*2.20462),3),FIXED(OFFSET('SE Manifest'!$L$29,(ROW(AE31)-1)*3,0),3)&amp;CHAR(10)&amp;FIXED(SUM(OFFSET('SE Manifest'!$L$29,(ROW(AE31)-1)*3,0)*0.453592),3)))</f>
        <v/>
      </c>
      <c r="AF71" s="215"/>
      <c r="AG71" s="215"/>
      <c r="AH71" s="146" t="str">
        <f ca="1">IF(OFFSET('SE Manifest'!$L$29,(ROW(AE31)-1)*3,0)="","",IF('SE Manifest'!$G$25="","",IF('SE Manifest'!$G$25="METRIC","KG"&amp;CHAR(10)&amp;"LBS","LBS"&amp;CHAR(10)&amp;"KG")))</f>
        <v/>
      </c>
      <c r="AI71" s="216" t="str">
        <f ca="1">IF(OFFSET('SE Manifest'!$N$29,(ROW(AI31)-1)*3,0)="","",IF('SE Manifest'!$G$25="METRIC",FIXED(OFFSET('SE Manifest'!$N$29,(ROW(AI31)-1)*3,0),4)&amp;CHAR(10)&amp;FIXED(SUM(OFFSET('SE Manifest'!$N$29,(ROW(AI31)-1)*3,0)*35.3147),4),FIXED(OFFSET('SE Manifest'!$N$29,(ROW(AI31)-1)*3,0),4)&amp;CHAR(10)&amp;FIXED(SUM(OFFSET('SE Manifest'!$N$29,(ROW(AI31)-1)*3,0)*0.0283168),4)))</f>
        <v/>
      </c>
      <c r="AJ71" s="217"/>
      <c r="AK71" s="147" t="str">
        <f ca="1">IF(OFFSET('SE Manifest'!$N$29,(ROW(AI31)-1)*3,0)="","",IF('SE Manifest'!$G$25="","",IF('SE Manifest'!$G$25="METRIC","CBM"&amp;CHAR(10)&amp;"CFT","CFT"&amp;CHAR(10)&amp;"CBM")))</f>
        <v/>
      </c>
      <c r="AL71" s="12"/>
    </row>
    <row r="72" spans="1:38" ht="129.94999999999999" hidden="1" customHeight="1">
      <c r="A72" s="12"/>
      <c r="B72" s="121"/>
      <c r="C72" s="213" t="str">
        <f ca="1">IF(OFFSET('SE Manifest'!$A$30,(ROW(C32)-1)*3,0)="","",OFFSET('SE Manifest'!$A$30,(ROW(C32)-1)*3,0))</f>
        <v/>
      </c>
      <c r="D72" s="213"/>
      <c r="E72" s="213"/>
      <c r="F72" s="122"/>
      <c r="G72" s="123"/>
      <c r="H72" s="145" t="str">
        <f ca="1">IF(OFFSET('SE Manifest'!$C$29,(ROW(H32)-1)*3,0)="","",OFFSET('SE Manifest'!$C$29,(ROW(H32)-1)*3,0))</f>
        <v/>
      </c>
      <c r="I72" s="124" t="str">
        <f t="shared" ca="1" si="0"/>
        <v/>
      </c>
      <c r="J72" s="145" t="str">
        <f ca="1">IF(OFFSET('SE Manifest'!$D$29,(ROW(J32)-1)*3,0)="","",OFFSET('SE Manifest'!$D$29,(ROW(J32)-1)*3,0))</f>
        <v/>
      </c>
      <c r="K72" s="122"/>
      <c r="L72" s="123"/>
      <c r="M72" s="213" t="str">
        <f ca="1">IF(OFFSET('SE Manifest'!$E$29,(ROW(M32)-1)*3,0)="","",OFFSET('SE Manifest'!$E$29,(ROW(M32)-1)*3,0)&amp;CHAR(10)&amp;OFFSET('SE Manifest'!$E$30,(ROW(M32)-1)*3,0)&amp;CHAR(10)&amp;OFFSET('SE Manifest'!$E$31,(ROW(M32)-1)*3,0))</f>
        <v/>
      </c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4" t="str">
        <f ca="1">IF(OFFSET('SE Manifest'!$L$29,(ROW(AE32)-1)*3,0)="","",IF('SE Manifest'!$G$25="METRIC",FIXED(OFFSET('SE Manifest'!$L$29,(ROW(AE32)-1)*3,0),3)&amp;CHAR(10)&amp;FIXED(SUM(OFFSET('SE Manifest'!$L$29,(ROW(AE32)-1)*3,0)*2.20462),3),FIXED(OFFSET('SE Manifest'!$L$29,(ROW(AE32)-1)*3,0),3)&amp;CHAR(10)&amp;FIXED(SUM(OFFSET('SE Manifest'!$L$29,(ROW(AE32)-1)*3,0)*0.453592),3)))</f>
        <v/>
      </c>
      <c r="AF72" s="215"/>
      <c r="AG72" s="215"/>
      <c r="AH72" s="146" t="str">
        <f ca="1">IF(OFFSET('SE Manifest'!$L$29,(ROW(AE32)-1)*3,0)="","",IF('SE Manifest'!$G$25="","",IF('SE Manifest'!$G$25="METRIC","KG"&amp;CHAR(10)&amp;"LBS","LBS"&amp;CHAR(10)&amp;"KG")))</f>
        <v/>
      </c>
      <c r="AI72" s="216" t="str">
        <f ca="1">IF(OFFSET('SE Manifest'!$N$29,(ROW(AI32)-1)*3,0)="","",IF('SE Manifest'!$G$25="METRIC",FIXED(OFFSET('SE Manifest'!$N$29,(ROW(AI32)-1)*3,0),4)&amp;CHAR(10)&amp;FIXED(SUM(OFFSET('SE Manifest'!$N$29,(ROW(AI32)-1)*3,0)*35.3147),4),FIXED(OFFSET('SE Manifest'!$N$29,(ROW(AI32)-1)*3,0),4)&amp;CHAR(10)&amp;FIXED(SUM(OFFSET('SE Manifest'!$N$29,(ROW(AI32)-1)*3,0)*0.0283168),4)))</f>
        <v/>
      </c>
      <c r="AJ72" s="217"/>
      <c r="AK72" s="147" t="str">
        <f ca="1">IF(OFFSET('SE Manifest'!$N$29,(ROW(AI32)-1)*3,0)="","",IF('SE Manifest'!$G$25="","",IF('SE Manifest'!$G$25="METRIC","CBM"&amp;CHAR(10)&amp;"CFT","CFT"&amp;CHAR(10)&amp;"CBM")))</f>
        <v/>
      </c>
      <c r="AL72" s="12"/>
    </row>
    <row r="73" spans="1:38" ht="129.94999999999999" hidden="1" customHeight="1">
      <c r="A73" s="12"/>
      <c r="B73" s="121"/>
      <c r="C73" s="213" t="str">
        <f ca="1">IF(OFFSET('SE Manifest'!$A$30,(ROW(C33)-1)*3,0)="","",OFFSET('SE Manifest'!$A$30,(ROW(C33)-1)*3,0))</f>
        <v/>
      </c>
      <c r="D73" s="213"/>
      <c r="E73" s="213"/>
      <c r="F73" s="122"/>
      <c r="G73" s="123"/>
      <c r="H73" s="145" t="str">
        <f ca="1">IF(OFFSET('SE Manifest'!$C$29,(ROW(H33)-1)*3,0)="","",OFFSET('SE Manifest'!$C$29,(ROW(H33)-1)*3,0))</f>
        <v/>
      </c>
      <c r="I73" s="124" t="str">
        <f t="shared" ca="1" si="0"/>
        <v/>
      </c>
      <c r="J73" s="145" t="str">
        <f ca="1">IF(OFFSET('SE Manifest'!$D$29,(ROW(J33)-1)*3,0)="","",OFFSET('SE Manifest'!$D$29,(ROW(J33)-1)*3,0))</f>
        <v/>
      </c>
      <c r="K73" s="122"/>
      <c r="L73" s="123"/>
      <c r="M73" s="213" t="str">
        <f ca="1">IF(OFFSET('SE Manifest'!$E$29,(ROW(M33)-1)*3,0)="","",OFFSET('SE Manifest'!$E$29,(ROW(M33)-1)*3,0)&amp;CHAR(10)&amp;OFFSET('SE Manifest'!$E$30,(ROW(M33)-1)*3,0)&amp;CHAR(10)&amp;OFFSET('SE Manifest'!$E$31,(ROW(M33)-1)*3,0))</f>
        <v/>
      </c>
      <c r="N73" s="213"/>
      <c r="O73" s="213"/>
      <c r="P73" s="213"/>
      <c r="Q73" s="213"/>
      <c r="R73" s="213"/>
      <c r="S73" s="213"/>
      <c r="T73" s="213"/>
      <c r="U73" s="213"/>
      <c r="V73" s="213"/>
      <c r="W73" s="213"/>
      <c r="X73" s="213"/>
      <c r="Y73" s="213"/>
      <c r="Z73" s="213"/>
      <c r="AA73" s="213"/>
      <c r="AB73" s="213"/>
      <c r="AC73" s="213"/>
      <c r="AD73" s="213"/>
      <c r="AE73" s="214" t="str">
        <f ca="1">IF(OFFSET('SE Manifest'!$L$29,(ROW(AE33)-1)*3,0)="","",IF('SE Manifest'!$G$25="METRIC",FIXED(OFFSET('SE Manifest'!$L$29,(ROW(AE33)-1)*3,0),3)&amp;CHAR(10)&amp;FIXED(SUM(OFFSET('SE Manifest'!$L$29,(ROW(AE33)-1)*3,0)*2.20462),3),FIXED(OFFSET('SE Manifest'!$L$29,(ROW(AE33)-1)*3,0),3)&amp;CHAR(10)&amp;FIXED(SUM(OFFSET('SE Manifest'!$L$29,(ROW(AE33)-1)*3,0)*0.453592),3)))</f>
        <v/>
      </c>
      <c r="AF73" s="215"/>
      <c r="AG73" s="215"/>
      <c r="AH73" s="146" t="str">
        <f ca="1">IF(OFFSET('SE Manifest'!$L$29,(ROW(AE33)-1)*3,0)="","",IF('SE Manifest'!$G$25="","",IF('SE Manifest'!$G$25="METRIC","KG"&amp;CHAR(10)&amp;"LBS","LBS"&amp;CHAR(10)&amp;"KG")))</f>
        <v/>
      </c>
      <c r="AI73" s="216" t="str">
        <f ca="1">IF(OFFSET('SE Manifest'!$N$29,(ROW(AI33)-1)*3,0)="","",IF('SE Manifest'!$G$25="METRIC",FIXED(OFFSET('SE Manifest'!$N$29,(ROW(AI33)-1)*3,0),4)&amp;CHAR(10)&amp;FIXED(SUM(OFFSET('SE Manifest'!$N$29,(ROW(AI33)-1)*3,0)*35.3147),4),FIXED(OFFSET('SE Manifest'!$N$29,(ROW(AI33)-1)*3,0),4)&amp;CHAR(10)&amp;FIXED(SUM(OFFSET('SE Manifest'!$N$29,(ROW(AI33)-1)*3,0)*0.0283168),4)))</f>
        <v/>
      </c>
      <c r="AJ73" s="217"/>
      <c r="AK73" s="147" t="str">
        <f ca="1">IF(OFFSET('SE Manifest'!$N$29,(ROW(AI33)-1)*3,0)="","",IF('SE Manifest'!$G$25="","",IF('SE Manifest'!$G$25="METRIC","CBM"&amp;CHAR(10)&amp;"CFT","CFT"&amp;CHAR(10)&amp;"CBM")))</f>
        <v/>
      </c>
      <c r="AL73" s="12"/>
    </row>
    <row r="74" spans="1:38" ht="129.94999999999999" hidden="1" customHeight="1">
      <c r="A74" s="12"/>
      <c r="B74" s="121"/>
      <c r="C74" s="213" t="str">
        <f ca="1">IF(OFFSET('SE Manifest'!$A$30,(ROW(C34)-1)*3,0)="","",OFFSET('SE Manifest'!$A$30,(ROW(C34)-1)*3,0))</f>
        <v/>
      </c>
      <c r="D74" s="213"/>
      <c r="E74" s="213"/>
      <c r="F74" s="122"/>
      <c r="G74" s="123"/>
      <c r="H74" s="145" t="str">
        <f ca="1">IF(OFFSET('SE Manifest'!$C$29,(ROW(H34)-1)*3,0)="","",OFFSET('SE Manifest'!$C$29,(ROW(H34)-1)*3,0))</f>
        <v/>
      </c>
      <c r="I74" s="124" t="str">
        <f t="shared" ca="1" si="0"/>
        <v/>
      </c>
      <c r="J74" s="145" t="str">
        <f ca="1">IF(OFFSET('SE Manifest'!$D$29,(ROW(J34)-1)*3,0)="","",OFFSET('SE Manifest'!$D$29,(ROW(J34)-1)*3,0))</f>
        <v/>
      </c>
      <c r="K74" s="122"/>
      <c r="L74" s="123"/>
      <c r="M74" s="213" t="str">
        <f ca="1">IF(OFFSET('SE Manifest'!$E$29,(ROW(M34)-1)*3,0)="","",OFFSET('SE Manifest'!$E$29,(ROW(M34)-1)*3,0)&amp;CHAR(10)&amp;OFFSET('SE Manifest'!$E$30,(ROW(M34)-1)*3,0)&amp;CHAR(10)&amp;OFFSET('SE Manifest'!$E$31,(ROW(M34)-1)*3,0))</f>
        <v/>
      </c>
      <c r="N74" s="213"/>
      <c r="O74" s="213"/>
      <c r="P74" s="213"/>
      <c r="Q74" s="213"/>
      <c r="R74" s="213"/>
      <c r="S74" s="213"/>
      <c r="T74" s="213"/>
      <c r="U74" s="213"/>
      <c r="V74" s="213"/>
      <c r="W74" s="213"/>
      <c r="X74" s="213"/>
      <c r="Y74" s="213"/>
      <c r="Z74" s="213"/>
      <c r="AA74" s="213"/>
      <c r="AB74" s="213"/>
      <c r="AC74" s="213"/>
      <c r="AD74" s="213"/>
      <c r="AE74" s="214" t="str">
        <f ca="1">IF(OFFSET('SE Manifest'!$L$29,(ROW(AE34)-1)*3,0)="","",IF('SE Manifest'!$G$25="METRIC",FIXED(OFFSET('SE Manifest'!$L$29,(ROW(AE34)-1)*3,0),3)&amp;CHAR(10)&amp;FIXED(SUM(OFFSET('SE Manifest'!$L$29,(ROW(AE34)-1)*3,0)*2.20462),3),FIXED(OFFSET('SE Manifest'!$L$29,(ROW(AE34)-1)*3,0),3)&amp;CHAR(10)&amp;FIXED(SUM(OFFSET('SE Manifest'!$L$29,(ROW(AE34)-1)*3,0)*0.453592),3)))</f>
        <v/>
      </c>
      <c r="AF74" s="215"/>
      <c r="AG74" s="215"/>
      <c r="AH74" s="146" t="str">
        <f ca="1">IF(OFFSET('SE Manifest'!$L$29,(ROW(AE34)-1)*3,0)="","",IF('SE Manifest'!$G$25="","",IF('SE Manifest'!$G$25="METRIC","KG"&amp;CHAR(10)&amp;"LBS","LBS"&amp;CHAR(10)&amp;"KG")))</f>
        <v/>
      </c>
      <c r="AI74" s="216" t="str">
        <f ca="1">IF(OFFSET('SE Manifest'!$N$29,(ROW(AI34)-1)*3,0)="","",IF('SE Manifest'!$G$25="METRIC",FIXED(OFFSET('SE Manifest'!$N$29,(ROW(AI34)-1)*3,0),4)&amp;CHAR(10)&amp;FIXED(SUM(OFFSET('SE Manifest'!$N$29,(ROW(AI34)-1)*3,0)*35.3147),4),FIXED(OFFSET('SE Manifest'!$N$29,(ROW(AI34)-1)*3,0),4)&amp;CHAR(10)&amp;FIXED(SUM(OFFSET('SE Manifest'!$N$29,(ROW(AI34)-1)*3,0)*0.0283168),4)))</f>
        <v/>
      </c>
      <c r="AJ74" s="217"/>
      <c r="AK74" s="147" t="str">
        <f ca="1">IF(OFFSET('SE Manifest'!$N$29,(ROW(AI34)-1)*3,0)="","",IF('SE Manifest'!$G$25="","",IF('SE Manifest'!$G$25="METRIC","CBM"&amp;CHAR(10)&amp;"CFT","CFT"&amp;CHAR(10)&amp;"CBM")))</f>
        <v/>
      </c>
      <c r="AL74" s="12"/>
    </row>
    <row r="75" spans="1:38" ht="129.94999999999999" hidden="1" customHeight="1">
      <c r="A75" s="12"/>
      <c r="B75" s="121"/>
      <c r="C75" s="213" t="str">
        <f ca="1">IF(OFFSET('SE Manifest'!$A$30,(ROW(C35)-1)*3,0)="","",OFFSET('SE Manifest'!$A$30,(ROW(C35)-1)*3,0))</f>
        <v/>
      </c>
      <c r="D75" s="213"/>
      <c r="E75" s="213"/>
      <c r="F75" s="122"/>
      <c r="G75" s="123"/>
      <c r="H75" s="145" t="str">
        <f ca="1">IF(OFFSET('SE Manifest'!$C$29,(ROW(H35)-1)*3,0)="","",OFFSET('SE Manifest'!$C$29,(ROW(H35)-1)*3,0))</f>
        <v/>
      </c>
      <c r="I75" s="124" t="str">
        <f t="shared" ca="1" si="0"/>
        <v/>
      </c>
      <c r="J75" s="145" t="str">
        <f ca="1">IF(OFFSET('SE Manifest'!$D$29,(ROW(J35)-1)*3,0)="","",OFFSET('SE Manifest'!$D$29,(ROW(J35)-1)*3,0))</f>
        <v/>
      </c>
      <c r="K75" s="122"/>
      <c r="L75" s="123"/>
      <c r="M75" s="213" t="str">
        <f ca="1">IF(OFFSET('SE Manifest'!$E$29,(ROW(M35)-1)*3,0)="","",OFFSET('SE Manifest'!$E$29,(ROW(M35)-1)*3,0)&amp;CHAR(10)&amp;OFFSET('SE Manifest'!$E$30,(ROW(M35)-1)*3,0)&amp;CHAR(10)&amp;OFFSET('SE Manifest'!$E$31,(ROW(M35)-1)*3,0))</f>
        <v/>
      </c>
      <c r="N75" s="213"/>
      <c r="O75" s="213"/>
      <c r="P75" s="213"/>
      <c r="Q75" s="213"/>
      <c r="R75" s="213"/>
      <c r="S75" s="213"/>
      <c r="T75" s="213"/>
      <c r="U75" s="213"/>
      <c r="V75" s="213"/>
      <c r="W75" s="213"/>
      <c r="X75" s="213"/>
      <c r="Y75" s="213"/>
      <c r="Z75" s="213"/>
      <c r="AA75" s="213"/>
      <c r="AB75" s="213"/>
      <c r="AC75" s="213"/>
      <c r="AD75" s="213"/>
      <c r="AE75" s="214" t="str">
        <f ca="1">IF(OFFSET('SE Manifest'!$L$29,(ROW(AE35)-1)*3,0)="","",IF('SE Manifest'!$G$25="METRIC",FIXED(OFFSET('SE Manifest'!$L$29,(ROW(AE35)-1)*3,0),3)&amp;CHAR(10)&amp;FIXED(SUM(OFFSET('SE Manifest'!$L$29,(ROW(AE35)-1)*3,0)*2.20462),3),FIXED(OFFSET('SE Manifest'!$L$29,(ROW(AE35)-1)*3,0),3)&amp;CHAR(10)&amp;FIXED(SUM(OFFSET('SE Manifest'!$L$29,(ROW(AE35)-1)*3,0)*0.453592),3)))</f>
        <v/>
      </c>
      <c r="AF75" s="215"/>
      <c r="AG75" s="215"/>
      <c r="AH75" s="146" t="str">
        <f ca="1">IF(OFFSET('SE Manifest'!$L$29,(ROW(AE35)-1)*3,0)="","",IF('SE Manifest'!$G$25="","",IF('SE Manifest'!$G$25="METRIC","KG"&amp;CHAR(10)&amp;"LBS","LBS"&amp;CHAR(10)&amp;"KG")))</f>
        <v/>
      </c>
      <c r="AI75" s="216" t="str">
        <f ca="1">IF(OFFSET('SE Manifest'!$N$29,(ROW(AI35)-1)*3,0)="","",IF('SE Manifest'!$G$25="METRIC",FIXED(OFFSET('SE Manifest'!$N$29,(ROW(AI35)-1)*3,0),4)&amp;CHAR(10)&amp;FIXED(SUM(OFFSET('SE Manifest'!$N$29,(ROW(AI35)-1)*3,0)*35.3147),4),FIXED(OFFSET('SE Manifest'!$N$29,(ROW(AI35)-1)*3,0),4)&amp;CHAR(10)&amp;FIXED(SUM(OFFSET('SE Manifest'!$N$29,(ROW(AI35)-1)*3,0)*0.0283168),4)))</f>
        <v/>
      </c>
      <c r="AJ75" s="217"/>
      <c r="AK75" s="147" t="str">
        <f ca="1">IF(OFFSET('SE Manifest'!$N$29,(ROW(AI35)-1)*3,0)="","",IF('SE Manifest'!$G$25="","",IF('SE Manifest'!$G$25="METRIC","CBM"&amp;CHAR(10)&amp;"CFT","CFT"&amp;CHAR(10)&amp;"CBM")))</f>
        <v/>
      </c>
      <c r="AL75" s="12"/>
    </row>
    <row r="76" spans="1:38" ht="129.94999999999999" hidden="1" customHeight="1">
      <c r="A76" s="12"/>
      <c r="B76" s="121"/>
      <c r="C76" s="213" t="str">
        <f ca="1">IF(OFFSET('SE Manifest'!$A$30,(ROW(C36)-1)*3,0)="","",OFFSET('SE Manifest'!$A$30,(ROW(C36)-1)*3,0))</f>
        <v/>
      </c>
      <c r="D76" s="213"/>
      <c r="E76" s="213"/>
      <c r="F76" s="122"/>
      <c r="G76" s="123"/>
      <c r="H76" s="145" t="str">
        <f ca="1">IF(OFFSET('SE Manifest'!$C$29,(ROW(H36)-1)*3,0)="","",OFFSET('SE Manifest'!$C$29,(ROW(H36)-1)*3,0))</f>
        <v/>
      </c>
      <c r="I76" s="124" t="str">
        <f t="shared" ca="1" si="0"/>
        <v/>
      </c>
      <c r="J76" s="145" t="str">
        <f ca="1">IF(OFFSET('SE Manifest'!$D$29,(ROW(J36)-1)*3,0)="","",OFFSET('SE Manifest'!$D$29,(ROW(J36)-1)*3,0))</f>
        <v/>
      </c>
      <c r="K76" s="122"/>
      <c r="L76" s="123"/>
      <c r="M76" s="213" t="str">
        <f ca="1">IF(OFFSET('SE Manifest'!$E$29,(ROW(M36)-1)*3,0)="","",OFFSET('SE Manifest'!$E$29,(ROW(M36)-1)*3,0)&amp;CHAR(10)&amp;OFFSET('SE Manifest'!$E$30,(ROW(M36)-1)*3,0)&amp;CHAR(10)&amp;OFFSET('SE Manifest'!$E$31,(ROW(M36)-1)*3,0))</f>
        <v/>
      </c>
      <c r="N76" s="213"/>
      <c r="O76" s="213"/>
      <c r="P76" s="213"/>
      <c r="Q76" s="213"/>
      <c r="R76" s="213"/>
      <c r="S76" s="213"/>
      <c r="T76" s="213"/>
      <c r="U76" s="213"/>
      <c r="V76" s="213"/>
      <c r="W76" s="213"/>
      <c r="X76" s="213"/>
      <c r="Y76" s="213"/>
      <c r="Z76" s="213"/>
      <c r="AA76" s="213"/>
      <c r="AB76" s="213"/>
      <c r="AC76" s="213"/>
      <c r="AD76" s="213"/>
      <c r="AE76" s="214" t="str">
        <f ca="1">IF(OFFSET('SE Manifest'!$L$29,(ROW(AE36)-1)*3,0)="","",IF('SE Manifest'!$G$25="METRIC",FIXED(OFFSET('SE Manifest'!$L$29,(ROW(AE36)-1)*3,0),3)&amp;CHAR(10)&amp;FIXED(SUM(OFFSET('SE Manifest'!$L$29,(ROW(AE36)-1)*3,0)*2.20462),3),FIXED(OFFSET('SE Manifest'!$L$29,(ROW(AE36)-1)*3,0),3)&amp;CHAR(10)&amp;FIXED(SUM(OFFSET('SE Manifest'!$L$29,(ROW(AE36)-1)*3,0)*0.453592),3)))</f>
        <v/>
      </c>
      <c r="AF76" s="215"/>
      <c r="AG76" s="215"/>
      <c r="AH76" s="146" t="str">
        <f ca="1">IF(OFFSET('SE Manifest'!$L$29,(ROW(AE36)-1)*3,0)="","",IF('SE Manifest'!$G$25="","",IF('SE Manifest'!$G$25="METRIC","KG"&amp;CHAR(10)&amp;"LBS","LBS"&amp;CHAR(10)&amp;"KG")))</f>
        <v/>
      </c>
      <c r="AI76" s="216" t="str">
        <f ca="1">IF(OFFSET('SE Manifest'!$N$29,(ROW(AI36)-1)*3,0)="","",IF('SE Manifest'!$G$25="METRIC",FIXED(OFFSET('SE Manifest'!$N$29,(ROW(AI36)-1)*3,0),4)&amp;CHAR(10)&amp;FIXED(SUM(OFFSET('SE Manifest'!$N$29,(ROW(AI36)-1)*3,0)*35.3147),4),FIXED(OFFSET('SE Manifest'!$N$29,(ROW(AI36)-1)*3,0),4)&amp;CHAR(10)&amp;FIXED(SUM(OFFSET('SE Manifest'!$N$29,(ROW(AI36)-1)*3,0)*0.0283168),4)))</f>
        <v/>
      </c>
      <c r="AJ76" s="217"/>
      <c r="AK76" s="147" t="str">
        <f ca="1">IF(OFFSET('SE Manifest'!$N$29,(ROW(AI36)-1)*3,0)="","",IF('SE Manifest'!$G$25="","",IF('SE Manifest'!$G$25="METRIC","CBM"&amp;CHAR(10)&amp;"CFT","CFT"&amp;CHAR(10)&amp;"CBM")))</f>
        <v/>
      </c>
      <c r="AL76" s="12"/>
    </row>
    <row r="77" spans="1:38" ht="129.94999999999999" hidden="1" customHeight="1">
      <c r="A77" s="12"/>
      <c r="B77" s="121"/>
      <c r="C77" s="213" t="str">
        <f ca="1">IF(OFFSET('SE Manifest'!$A$30,(ROW(C37)-1)*3,0)="","",OFFSET('SE Manifest'!$A$30,(ROW(C37)-1)*3,0))</f>
        <v/>
      </c>
      <c r="D77" s="213"/>
      <c r="E77" s="213"/>
      <c r="F77" s="122"/>
      <c r="G77" s="123"/>
      <c r="H77" s="145" t="str">
        <f ca="1">IF(OFFSET('SE Manifest'!$C$29,(ROW(H37)-1)*3,0)="","",OFFSET('SE Manifest'!$C$29,(ROW(H37)-1)*3,0))</f>
        <v/>
      </c>
      <c r="I77" s="124" t="str">
        <f t="shared" ca="1" si="0"/>
        <v/>
      </c>
      <c r="J77" s="145" t="str">
        <f ca="1">IF(OFFSET('SE Manifest'!$D$29,(ROW(J37)-1)*3,0)="","",OFFSET('SE Manifest'!$D$29,(ROW(J37)-1)*3,0))</f>
        <v/>
      </c>
      <c r="K77" s="122"/>
      <c r="L77" s="123"/>
      <c r="M77" s="213" t="str">
        <f ca="1">IF(OFFSET('SE Manifest'!$E$29,(ROW(M37)-1)*3,0)="","",OFFSET('SE Manifest'!$E$29,(ROW(M37)-1)*3,0)&amp;CHAR(10)&amp;OFFSET('SE Manifest'!$E$30,(ROW(M37)-1)*3,0)&amp;CHAR(10)&amp;OFFSET('SE Manifest'!$E$31,(ROW(M37)-1)*3,0))</f>
        <v/>
      </c>
      <c r="N77" s="213"/>
      <c r="O77" s="213"/>
      <c r="P77" s="213"/>
      <c r="Q77" s="213"/>
      <c r="R77" s="213"/>
      <c r="S77" s="213"/>
      <c r="T77" s="213"/>
      <c r="U77" s="213"/>
      <c r="V77" s="213"/>
      <c r="W77" s="213"/>
      <c r="X77" s="213"/>
      <c r="Y77" s="213"/>
      <c r="Z77" s="213"/>
      <c r="AA77" s="213"/>
      <c r="AB77" s="213"/>
      <c r="AC77" s="213"/>
      <c r="AD77" s="213"/>
      <c r="AE77" s="214" t="str">
        <f ca="1">IF(OFFSET('SE Manifest'!$L$29,(ROW(AE37)-1)*3,0)="","",IF('SE Manifest'!$G$25="METRIC",FIXED(OFFSET('SE Manifest'!$L$29,(ROW(AE37)-1)*3,0),3)&amp;CHAR(10)&amp;FIXED(SUM(OFFSET('SE Manifest'!$L$29,(ROW(AE37)-1)*3,0)*2.20462),3),FIXED(OFFSET('SE Manifest'!$L$29,(ROW(AE37)-1)*3,0),3)&amp;CHAR(10)&amp;FIXED(SUM(OFFSET('SE Manifest'!$L$29,(ROW(AE37)-1)*3,0)*0.453592),3)))</f>
        <v/>
      </c>
      <c r="AF77" s="215"/>
      <c r="AG77" s="215"/>
      <c r="AH77" s="146" t="str">
        <f ca="1">IF(OFFSET('SE Manifest'!$L$29,(ROW(AE37)-1)*3,0)="","",IF('SE Manifest'!$G$25="","",IF('SE Manifest'!$G$25="METRIC","KG"&amp;CHAR(10)&amp;"LBS","LBS"&amp;CHAR(10)&amp;"KG")))</f>
        <v/>
      </c>
      <c r="AI77" s="216" t="str">
        <f ca="1">IF(OFFSET('SE Manifest'!$N$29,(ROW(AI37)-1)*3,0)="","",IF('SE Manifest'!$G$25="METRIC",FIXED(OFFSET('SE Manifest'!$N$29,(ROW(AI37)-1)*3,0),4)&amp;CHAR(10)&amp;FIXED(SUM(OFFSET('SE Manifest'!$N$29,(ROW(AI37)-1)*3,0)*35.3147),4),FIXED(OFFSET('SE Manifest'!$N$29,(ROW(AI37)-1)*3,0),4)&amp;CHAR(10)&amp;FIXED(SUM(OFFSET('SE Manifest'!$N$29,(ROW(AI37)-1)*3,0)*0.0283168),4)))</f>
        <v/>
      </c>
      <c r="AJ77" s="217"/>
      <c r="AK77" s="147" t="str">
        <f ca="1">IF(OFFSET('SE Manifest'!$N$29,(ROW(AI37)-1)*3,0)="","",IF('SE Manifest'!$G$25="","",IF('SE Manifest'!$G$25="METRIC","CBM"&amp;CHAR(10)&amp;"CFT","CFT"&amp;CHAR(10)&amp;"CBM")))</f>
        <v/>
      </c>
      <c r="AL77" s="12"/>
    </row>
    <row r="78" spans="1:38" ht="129.94999999999999" hidden="1" customHeight="1">
      <c r="A78" s="12"/>
      <c r="B78" s="121"/>
      <c r="C78" s="213" t="str">
        <f ca="1">IF(OFFSET('SE Manifest'!$A$30,(ROW(C38)-1)*3,0)="","",OFFSET('SE Manifest'!$A$30,(ROW(C38)-1)*3,0))</f>
        <v/>
      </c>
      <c r="D78" s="213"/>
      <c r="E78" s="213"/>
      <c r="F78" s="122"/>
      <c r="G78" s="123"/>
      <c r="H78" s="145" t="str">
        <f ca="1">IF(OFFSET('SE Manifest'!$C$29,(ROW(H38)-1)*3,0)="","",OFFSET('SE Manifest'!$C$29,(ROW(H38)-1)*3,0))</f>
        <v/>
      </c>
      <c r="I78" s="124" t="str">
        <f t="shared" ca="1" si="0"/>
        <v/>
      </c>
      <c r="J78" s="145" t="str">
        <f ca="1">IF(OFFSET('SE Manifest'!$D$29,(ROW(J38)-1)*3,0)="","",OFFSET('SE Manifest'!$D$29,(ROW(J38)-1)*3,0))</f>
        <v/>
      </c>
      <c r="K78" s="122"/>
      <c r="L78" s="123"/>
      <c r="M78" s="213" t="str">
        <f ca="1">IF(OFFSET('SE Manifest'!$E$29,(ROW(M38)-1)*3,0)="","",OFFSET('SE Manifest'!$E$29,(ROW(M38)-1)*3,0)&amp;CHAR(10)&amp;OFFSET('SE Manifest'!$E$30,(ROW(M38)-1)*3,0)&amp;CHAR(10)&amp;OFFSET('SE Manifest'!$E$31,(ROW(M38)-1)*3,0))</f>
        <v/>
      </c>
      <c r="N78" s="213"/>
      <c r="O78" s="213"/>
      <c r="P78" s="213"/>
      <c r="Q78" s="213"/>
      <c r="R78" s="213"/>
      <c r="S78" s="213"/>
      <c r="T78" s="213"/>
      <c r="U78" s="213"/>
      <c r="V78" s="213"/>
      <c r="W78" s="213"/>
      <c r="X78" s="213"/>
      <c r="Y78" s="213"/>
      <c r="Z78" s="213"/>
      <c r="AA78" s="213"/>
      <c r="AB78" s="213"/>
      <c r="AC78" s="213"/>
      <c r="AD78" s="213"/>
      <c r="AE78" s="214" t="str">
        <f ca="1">IF(OFFSET('SE Manifest'!$L$29,(ROW(AE38)-1)*3,0)="","",IF('SE Manifest'!$G$25="METRIC",FIXED(OFFSET('SE Manifest'!$L$29,(ROW(AE38)-1)*3,0),3)&amp;CHAR(10)&amp;FIXED(SUM(OFFSET('SE Manifest'!$L$29,(ROW(AE38)-1)*3,0)*2.20462),3),FIXED(OFFSET('SE Manifest'!$L$29,(ROW(AE38)-1)*3,0),3)&amp;CHAR(10)&amp;FIXED(SUM(OFFSET('SE Manifest'!$L$29,(ROW(AE38)-1)*3,0)*0.453592),3)))</f>
        <v/>
      </c>
      <c r="AF78" s="215"/>
      <c r="AG78" s="215"/>
      <c r="AH78" s="146" t="str">
        <f ca="1">IF(OFFSET('SE Manifest'!$L$29,(ROW(AE38)-1)*3,0)="","",IF('SE Manifest'!$G$25="","",IF('SE Manifest'!$G$25="METRIC","KG"&amp;CHAR(10)&amp;"LBS","LBS"&amp;CHAR(10)&amp;"KG")))</f>
        <v/>
      </c>
      <c r="AI78" s="216" t="str">
        <f ca="1">IF(OFFSET('SE Manifest'!$N$29,(ROW(AI38)-1)*3,0)="","",IF('SE Manifest'!$G$25="METRIC",FIXED(OFFSET('SE Manifest'!$N$29,(ROW(AI38)-1)*3,0),4)&amp;CHAR(10)&amp;FIXED(SUM(OFFSET('SE Manifest'!$N$29,(ROW(AI38)-1)*3,0)*35.3147),4),FIXED(OFFSET('SE Manifest'!$N$29,(ROW(AI38)-1)*3,0),4)&amp;CHAR(10)&amp;FIXED(SUM(OFFSET('SE Manifest'!$N$29,(ROW(AI38)-1)*3,0)*0.0283168),4)))</f>
        <v/>
      </c>
      <c r="AJ78" s="217"/>
      <c r="AK78" s="147" t="str">
        <f ca="1">IF(OFFSET('SE Manifest'!$N$29,(ROW(AI38)-1)*3,0)="","",IF('SE Manifest'!$G$25="","",IF('SE Manifest'!$G$25="METRIC","CBM"&amp;CHAR(10)&amp;"CFT","CFT"&amp;CHAR(10)&amp;"CBM")))</f>
        <v/>
      </c>
      <c r="AL78" s="12"/>
    </row>
    <row r="79" spans="1:38" ht="129.94999999999999" hidden="1" customHeight="1">
      <c r="A79" s="12"/>
      <c r="B79" s="121"/>
      <c r="C79" s="213" t="str">
        <f ca="1">IF(OFFSET('SE Manifest'!$A$30,(ROW(C39)-1)*3,0)="","",OFFSET('SE Manifest'!$A$30,(ROW(C39)-1)*3,0))</f>
        <v/>
      </c>
      <c r="D79" s="213"/>
      <c r="E79" s="213"/>
      <c r="F79" s="122"/>
      <c r="G79" s="123"/>
      <c r="H79" s="145" t="str">
        <f ca="1">IF(OFFSET('SE Manifest'!$C$29,(ROW(H39)-1)*3,0)="","",OFFSET('SE Manifest'!$C$29,(ROW(H39)-1)*3,0))</f>
        <v/>
      </c>
      <c r="I79" s="124" t="str">
        <f t="shared" ca="1" si="0"/>
        <v/>
      </c>
      <c r="J79" s="145" t="str">
        <f ca="1">IF(OFFSET('SE Manifest'!$D$29,(ROW(J39)-1)*3,0)="","",OFFSET('SE Manifest'!$D$29,(ROW(J39)-1)*3,0))</f>
        <v/>
      </c>
      <c r="K79" s="122"/>
      <c r="L79" s="123"/>
      <c r="M79" s="213" t="str">
        <f ca="1">IF(OFFSET('SE Manifest'!$E$29,(ROW(M39)-1)*3,0)="","",OFFSET('SE Manifest'!$E$29,(ROW(M39)-1)*3,0)&amp;CHAR(10)&amp;OFFSET('SE Manifest'!$E$30,(ROW(M39)-1)*3,0)&amp;CHAR(10)&amp;OFFSET('SE Manifest'!$E$31,(ROW(M39)-1)*3,0))</f>
        <v/>
      </c>
      <c r="N79" s="213"/>
      <c r="O79" s="213"/>
      <c r="P79" s="213"/>
      <c r="Q79" s="213"/>
      <c r="R79" s="213"/>
      <c r="S79" s="213"/>
      <c r="T79" s="213"/>
      <c r="U79" s="213"/>
      <c r="V79" s="213"/>
      <c r="W79" s="213"/>
      <c r="X79" s="213"/>
      <c r="Y79" s="213"/>
      <c r="Z79" s="213"/>
      <c r="AA79" s="213"/>
      <c r="AB79" s="213"/>
      <c r="AC79" s="213"/>
      <c r="AD79" s="213"/>
      <c r="AE79" s="214" t="str">
        <f ca="1">IF(OFFSET('SE Manifest'!$L$29,(ROW(AE39)-1)*3,0)="","",IF('SE Manifest'!$G$25="METRIC",FIXED(OFFSET('SE Manifest'!$L$29,(ROW(AE39)-1)*3,0),3)&amp;CHAR(10)&amp;FIXED(SUM(OFFSET('SE Manifest'!$L$29,(ROW(AE39)-1)*3,0)*2.20462),3),FIXED(OFFSET('SE Manifest'!$L$29,(ROW(AE39)-1)*3,0),3)&amp;CHAR(10)&amp;FIXED(SUM(OFFSET('SE Manifest'!$L$29,(ROW(AE39)-1)*3,0)*0.453592),3)))</f>
        <v/>
      </c>
      <c r="AF79" s="215"/>
      <c r="AG79" s="215"/>
      <c r="AH79" s="146" t="str">
        <f ca="1">IF(OFFSET('SE Manifest'!$L$29,(ROW(AE39)-1)*3,0)="","",IF('SE Manifest'!$G$25="","",IF('SE Manifest'!$G$25="METRIC","KG"&amp;CHAR(10)&amp;"LBS","LBS"&amp;CHAR(10)&amp;"KG")))</f>
        <v/>
      </c>
      <c r="AI79" s="216" t="str">
        <f ca="1">IF(OFFSET('SE Manifest'!$N$29,(ROW(AI39)-1)*3,0)="","",IF('SE Manifest'!$G$25="METRIC",FIXED(OFFSET('SE Manifest'!$N$29,(ROW(AI39)-1)*3,0),4)&amp;CHAR(10)&amp;FIXED(SUM(OFFSET('SE Manifest'!$N$29,(ROW(AI39)-1)*3,0)*35.3147),4),FIXED(OFFSET('SE Manifest'!$N$29,(ROW(AI39)-1)*3,0),4)&amp;CHAR(10)&amp;FIXED(SUM(OFFSET('SE Manifest'!$N$29,(ROW(AI39)-1)*3,0)*0.0283168),4)))</f>
        <v/>
      </c>
      <c r="AJ79" s="217"/>
      <c r="AK79" s="147" t="str">
        <f ca="1">IF(OFFSET('SE Manifest'!$N$29,(ROW(AI39)-1)*3,0)="","",IF('SE Manifest'!$G$25="","",IF('SE Manifest'!$G$25="METRIC","CBM"&amp;CHAR(10)&amp;"CFT","CFT"&amp;CHAR(10)&amp;"CBM")))</f>
        <v/>
      </c>
      <c r="AL79" s="12"/>
    </row>
    <row r="80" spans="1:38" ht="129.94999999999999" hidden="1" customHeight="1">
      <c r="A80" s="12"/>
      <c r="B80" s="121"/>
      <c r="C80" s="213" t="str">
        <f ca="1">IF(OFFSET('SE Manifest'!$A$30,(ROW(C40)-1)*3,0)="","",OFFSET('SE Manifest'!$A$30,(ROW(C40)-1)*3,0))</f>
        <v/>
      </c>
      <c r="D80" s="213"/>
      <c r="E80" s="213"/>
      <c r="F80" s="122"/>
      <c r="G80" s="123"/>
      <c r="H80" s="145" t="str">
        <f ca="1">IF(OFFSET('SE Manifest'!$C$29,(ROW(H40)-1)*3,0)="","",OFFSET('SE Manifest'!$C$29,(ROW(H40)-1)*3,0))</f>
        <v/>
      </c>
      <c r="I80" s="124" t="str">
        <f t="shared" ca="1" si="0"/>
        <v/>
      </c>
      <c r="J80" s="145" t="str">
        <f ca="1">IF(OFFSET('SE Manifest'!$D$29,(ROW(J40)-1)*3,0)="","",OFFSET('SE Manifest'!$D$29,(ROW(J40)-1)*3,0))</f>
        <v/>
      </c>
      <c r="K80" s="122"/>
      <c r="L80" s="123"/>
      <c r="M80" s="213" t="str">
        <f ca="1">IF(OFFSET('SE Manifest'!$E$29,(ROW(M40)-1)*3,0)="","",OFFSET('SE Manifest'!$E$29,(ROW(M40)-1)*3,0)&amp;CHAR(10)&amp;OFFSET('SE Manifest'!$E$30,(ROW(M40)-1)*3,0)&amp;CHAR(10)&amp;OFFSET('SE Manifest'!$E$31,(ROW(M40)-1)*3,0))</f>
        <v/>
      </c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AD80" s="213"/>
      <c r="AE80" s="214" t="str">
        <f ca="1">IF(OFFSET('SE Manifest'!$L$29,(ROW(AE40)-1)*3,0)="","",IF('SE Manifest'!$G$25="METRIC",FIXED(OFFSET('SE Manifest'!$L$29,(ROW(AE40)-1)*3,0),3)&amp;CHAR(10)&amp;FIXED(SUM(OFFSET('SE Manifest'!$L$29,(ROW(AE40)-1)*3,0)*2.20462),3),FIXED(OFFSET('SE Manifest'!$L$29,(ROW(AE40)-1)*3,0),3)&amp;CHAR(10)&amp;FIXED(SUM(OFFSET('SE Manifest'!$L$29,(ROW(AE40)-1)*3,0)*0.453592),3)))</f>
        <v/>
      </c>
      <c r="AF80" s="215"/>
      <c r="AG80" s="215"/>
      <c r="AH80" s="146" t="str">
        <f ca="1">IF(OFFSET('SE Manifest'!$L$29,(ROW(AE40)-1)*3,0)="","",IF('SE Manifest'!$G$25="","",IF('SE Manifest'!$G$25="METRIC","KG"&amp;CHAR(10)&amp;"LBS","LBS"&amp;CHAR(10)&amp;"KG")))</f>
        <v/>
      </c>
      <c r="AI80" s="216" t="str">
        <f ca="1">IF(OFFSET('SE Manifest'!$N$29,(ROW(AI40)-1)*3,0)="","",IF('SE Manifest'!$G$25="METRIC",FIXED(OFFSET('SE Manifest'!$N$29,(ROW(AI40)-1)*3,0),4)&amp;CHAR(10)&amp;FIXED(SUM(OFFSET('SE Manifest'!$N$29,(ROW(AI40)-1)*3,0)*35.3147),4),FIXED(OFFSET('SE Manifest'!$N$29,(ROW(AI40)-1)*3,0),4)&amp;CHAR(10)&amp;FIXED(SUM(OFFSET('SE Manifest'!$N$29,(ROW(AI40)-1)*3,0)*0.0283168),4)))</f>
        <v/>
      </c>
      <c r="AJ80" s="217"/>
      <c r="AK80" s="147" t="str">
        <f ca="1">IF(OFFSET('SE Manifest'!$N$29,(ROW(AI40)-1)*3,0)="","",IF('SE Manifest'!$G$25="","",IF('SE Manifest'!$G$25="METRIC","CBM"&amp;CHAR(10)&amp;"CFT","CFT"&amp;CHAR(10)&amp;"CBM")))</f>
        <v/>
      </c>
      <c r="AL80" s="12"/>
    </row>
    <row r="81" spans="1:38" ht="129.94999999999999" hidden="1" customHeight="1">
      <c r="A81" s="12"/>
      <c r="B81" s="121"/>
      <c r="C81" s="213" t="str">
        <f ca="1">IF(OFFSET('SE Manifest'!$A$30,(ROW(C41)-1)*3,0)="","",OFFSET('SE Manifest'!$A$30,(ROW(C41)-1)*3,0))</f>
        <v/>
      </c>
      <c r="D81" s="213"/>
      <c r="E81" s="213"/>
      <c r="F81" s="122"/>
      <c r="G81" s="123"/>
      <c r="H81" s="145" t="str">
        <f ca="1">IF(OFFSET('SE Manifest'!$C$29,(ROW(H41)-1)*3,0)="","",OFFSET('SE Manifest'!$C$29,(ROW(H41)-1)*3,0))</f>
        <v/>
      </c>
      <c r="I81" s="124" t="str">
        <f t="shared" ca="1" si="0"/>
        <v/>
      </c>
      <c r="J81" s="145" t="str">
        <f ca="1">IF(OFFSET('SE Manifest'!$D$29,(ROW(J41)-1)*3,0)="","",OFFSET('SE Manifest'!$D$29,(ROW(J41)-1)*3,0))</f>
        <v/>
      </c>
      <c r="K81" s="122"/>
      <c r="L81" s="123"/>
      <c r="M81" s="213" t="str">
        <f ca="1">IF(OFFSET('SE Manifest'!$E$29,(ROW(M41)-1)*3,0)="","",OFFSET('SE Manifest'!$E$29,(ROW(M41)-1)*3,0)&amp;CHAR(10)&amp;OFFSET('SE Manifest'!$E$30,(ROW(M41)-1)*3,0)&amp;CHAR(10)&amp;OFFSET('SE Manifest'!$E$31,(ROW(M41)-1)*3,0))</f>
        <v/>
      </c>
      <c r="N81" s="213"/>
      <c r="O81" s="213"/>
      <c r="P81" s="213"/>
      <c r="Q81" s="213"/>
      <c r="R81" s="213"/>
      <c r="S81" s="213"/>
      <c r="T81" s="213"/>
      <c r="U81" s="213"/>
      <c r="V81" s="213"/>
      <c r="W81" s="213"/>
      <c r="X81" s="213"/>
      <c r="Y81" s="213"/>
      <c r="Z81" s="213"/>
      <c r="AA81" s="213"/>
      <c r="AB81" s="213"/>
      <c r="AC81" s="213"/>
      <c r="AD81" s="213"/>
      <c r="AE81" s="214" t="str">
        <f ca="1">IF(OFFSET('SE Manifest'!$L$29,(ROW(AE41)-1)*3,0)="","",IF('SE Manifest'!$G$25="METRIC",FIXED(OFFSET('SE Manifest'!$L$29,(ROW(AE41)-1)*3,0),3)&amp;CHAR(10)&amp;FIXED(SUM(OFFSET('SE Manifest'!$L$29,(ROW(AE41)-1)*3,0)*2.20462),3),FIXED(OFFSET('SE Manifest'!$L$29,(ROW(AE41)-1)*3,0),3)&amp;CHAR(10)&amp;FIXED(SUM(OFFSET('SE Manifest'!$L$29,(ROW(AE41)-1)*3,0)*0.453592),3)))</f>
        <v/>
      </c>
      <c r="AF81" s="215"/>
      <c r="AG81" s="215"/>
      <c r="AH81" s="146" t="str">
        <f ca="1">IF(OFFSET('SE Manifest'!$L$29,(ROW(AE41)-1)*3,0)="","",IF('SE Manifest'!$G$25="","",IF('SE Manifest'!$G$25="METRIC","KG"&amp;CHAR(10)&amp;"LBS","LBS"&amp;CHAR(10)&amp;"KG")))</f>
        <v/>
      </c>
      <c r="AI81" s="216" t="str">
        <f ca="1">IF(OFFSET('SE Manifest'!$N$29,(ROW(AI41)-1)*3,0)="","",IF('SE Manifest'!$G$25="METRIC",FIXED(OFFSET('SE Manifest'!$N$29,(ROW(AI41)-1)*3,0),4)&amp;CHAR(10)&amp;FIXED(SUM(OFFSET('SE Manifest'!$N$29,(ROW(AI41)-1)*3,0)*35.3147),4),FIXED(OFFSET('SE Manifest'!$N$29,(ROW(AI41)-1)*3,0),4)&amp;CHAR(10)&amp;FIXED(SUM(OFFSET('SE Manifest'!$N$29,(ROW(AI41)-1)*3,0)*0.0283168),4)))</f>
        <v/>
      </c>
      <c r="AJ81" s="217"/>
      <c r="AK81" s="147" t="str">
        <f ca="1">IF(OFFSET('SE Manifest'!$N$29,(ROW(AI41)-1)*3,0)="","",IF('SE Manifest'!$G$25="","",IF('SE Manifest'!$G$25="METRIC","CBM"&amp;CHAR(10)&amp;"CFT","CFT"&amp;CHAR(10)&amp;"CBM")))</f>
        <v/>
      </c>
      <c r="AL81" s="12"/>
    </row>
    <row r="82" spans="1:38" ht="129.94999999999999" hidden="1" customHeight="1">
      <c r="A82" s="12"/>
      <c r="B82" s="121"/>
      <c r="C82" s="213" t="str">
        <f ca="1">IF(OFFSET('SE Manifest'!$A$30,(ROW(C42)-1)*3,0)="","",OFFSET('SE Manifest'!$A$30,(ROW(C42)-1)*3,0))</f>
        <v/>
      </c>
      <c r="D82" s="213"/>
      <c r="E82" s="213"/>
      <c r="F82" s="122"/>
      <c r="G82" s="123"/>
      <c r="H82" s="145" t="str">
        <f ca="1">IF(OFFSET('SE Manifest'!$C$29,(ROW(H42)-1)*3,0)="","",OFFSET('SE Manifest'!$C$29,(ROW(H42)-1)*3,0))</f>
        <v/>
      </c>
      <c r="I82" s="124" t="str">
        <f t="shared" ca="1" si="0"/>
        <v/>
      </c>
      <c r="J82" s="145" t="str">
        <f ca="1">IF(OFFSET('SE Manifest'!$D$29,(ROW(J42)-1)*3,0)="","",OFFSET('SE Manifest'!$D$29,(ROW(J42)-1)*3,0))</f>
        <v/>
      </c>
      <c r="K82" s="122"/>
      <c r="L82" s="123"/>
      <c r="M82" s="213" t="str">
        <f ca="1">IF(OFFSET('SE Manifest'!$E$29,(ROW(M42)-1)*3,0)="","",OFFSET('SE Manifest'!$E$29,(ROW(M42)-1)*3,0)&amp;CHAR(10)&amp;OFFSET('SE Manifest'!$E$30,(ROW(M42)-1)*3,0)&amp;CHAR(10)&amp;OFFSET('SE Manifest'!$E$31,(ROW(M42)-1)*3,0))</f>
        <v/>
      </c>
      <c r="N82" s="213"/>
      <c r="O82" s="213"/>
      <c r="P82" s="213"/>
      <c r="Q82" s="213"/>
      <c r="R82" s="213"/>
      <c r="S82" s="213"/>
      <c r="T82" s="213"/>
      <c r="U82" s="213"/>
      <c r="V82" s="213"/>
      <c r="W82" s="213"/>
      <c r="X82" s="213"/>
      <c r="Y82" s="213"/>
      <c r="Z82" s="213"/>
      <c r="AA82" s="213"/>
      <c r="AB82" s="213"/>
      <c r="AC82" s="213"/>
      <c r="AD82" s="213"/>
      <c r="AE82" s="214" t="str">
        <f ca="1">IF(OFFSET('SE Manifest'!$L$29,(ROW(AE42)-1)*3,0)="","",IF('SE Manifest'!$G$25="METRIC",FIXED(OFFSET('SE Manifest'!$L$29,(ROW(AE42)-1)*3,0),3)&amp;CHAR(10)&amp;FIXED(SUM(OFFSET('SE Manifest'!$L$29,(ROW(AE42)-1)*3,0)*2.20462),3),FIXED(OFFSET('SE Manifest'!$L$29,(ROW(AE42)-1)*3,0),3)&amp;CHAR(10)&amp;FIXED(SUM(OFFSET('SE Manifest'!$L$29,(ROW(AE42)-1)*3,0)*0.453592),3)))</f>
        <v/>
      </c>
      <c r="AF82" s="215"/>
      <c r="AG82" s="215"/>
      <c r="AH82" s="146" t="str">
        <f ca="1">IF(OFFSET('SE Manifest'!$L$29,(ROW(AE42)-1)*3,0)="","",IF('SE Manifest'!$G$25="","",IF('SE Manifest'!$G$25="METRIC","KG"&amp;CHAR(10)&amp;"LBS","LBS"&amp;CHAR(10)&amp;"KG")))</f>
        <v/>
      </c>
      <c r="AI82" s="216" t="str">
        <f ca="1">IF(OFFSET('SE Manifest'!$N$29,(ROW(AI42)-1)*3,0)="","",IF('SE Manifest'!$G$25="METRIC",FIXED(OFFSET('SE Manifest'!$N$29,(ROW(AI42)-1)*3,0),4)&amp;CHAR(10)&amp;FIXED(SUM(OFFSET('SE Manifest'!$N$29,(ROW(AI42)-1)*3,0)*35.3147),4),FIXED(OFFSET('SE Manifest'!$N$29,(ROW(AI42)-1)*3,0),4)&amp;CHAR(10)&amp;FIXED(SUM(OFFSET('SE Manifest'!$N$29,(ROW(AI42)-1)*3,0)*0.0283168),4)))</f>
        <v/>
      </c>
      <c r="AJ82" s="217"/>
      <c r="AK82" s="147" t="str">
        <f ca="1">IF(OFFSET('SE Manifest'!$N$29,(ROW(AI42)-1)*3,0)="","",IF('SE Manifest'!$G$25="","",IF('SE Manifest'!$G$25="METRIC","CBM"&amp;CHAR(10)&amp;"CFT","CFT"&amp;CHAR(10)&amp;"CBM")))</f>
        <v/>
      </c>
      <c r="AL82" s="12"/>
    </row>
    <row r="83" spans="1:38" ht="129.94999999999999" hidden="1" customHeight="1">
      <c r="A83" s="12"/>
      <c r="B83" s="121"/>
      <c r="C83" s="213" t="str">
        <f ca="1">IF(OFFSET('SE Manifest'!$A$30,(ROW(C43)-1)*3,0)="","",OFFSET('SE Manifest'!$A$30,(ROW(C43)-1)*3,0))</f>
        <v/>
      </c>
      <c r="D83" s="213"/>
      <c r="E83" s="213"/>
      <c r="F83" s="122"/>
      <c r="G83" s="123"/>
      <c r="H83" s="145" t="str">
        <f ca="1">IF(OFFSET('SE Manifest'!$C$29,(ROW(H43)-1)*3,0)="","",OFFSET('SE Manifest'!$C$29,(ROW(H43)-1)*3,0))</f>
        <v/>
      </c>
      <c r="I83" s="124" t="str">
        <f t="shared" ca="1" si="0"/>
        <v/>
      </c>
      <c r="J83" s="145" t="str">
        <f ca="1">IF(OFFSET('SE Manifest'!$D$29,(ROW(J43)-1)*3,0)="","",OFFSET('SE Manifest'!$D$29,(ROW(J43)-1)*3,0))</f>
        <v/>
      </c>
      <c r="K83" s="122"/>
      <c r="L83" s="123"/>
      <c r="M83" s="213" t="str">
        <f ca="1">IF(OFFSET('SE Manifest'!$E$29,(ROW(M43)-1)*3,0)="","",OFFSET('SE Manifest'!$E$29,(ROW(M43)-1)*3,0)&amp;CHAR(10)&amp;OFFSET('SE Manifest'!$E$30,(ROW(M43)-1)*3,0)&amp;CHAR(10)&amp;OFFSET('SE Manifest'!$E$31,(ROW(M43)-1)*3,0))</f>
        <v/>
      </c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4" t="str">
        <f ca="1">IF(OFFSET('SE Manifest'!$L$29,(ROW(AE43)-1)*3,0)="","",IF('SE Manifest'!$G$25="METRIC",FIXED(OFFSET('SE Manifest'!$L$29,(ROW(AE43)-1)*3,0),3)&amp;CHAR(10)&amp;FIXED(SUM(OFFSET('SE Manifest'!$L$29,(ROW(AE43)-1)*3,0)*2.20462),3),FIXED(OFFSET('SE Manifest'!$L$29,(ROW(AE43)-1)*3,0),3)&amp;CHAR(10)&amp;FIXED(SUM(OFFSET('SE Manifest'!$L$29,(ROW(AE43)-1)*3,0)*0.453592),3)))</f>
        <v/>
      </c>
      <c r="AF83" s="215"/>
      <c r="AG83" s="215"/>
      <c r="AH83" s="146" t="str">
        <f ca="1">IF(OFFSET('SE Manifest'!$L$29,(ROW(AE43)-1)*3,0)="","",IF('SE Manifest'!$G$25="","",IF('SE Manifest'!$G$25="METRIC","KG"&amp;CHAR(10)&amp;"LBS","LBS"&amp;CHAR(10)&amp;"KG")))</f>
        <v/>
      </c>
      <c r="AI83" s="216" t="str">
        <f ca="1">IF(OFFSET('SE Manifest'!$N$29,(ROW(AI43)-1)*3,0)="","",IF('SE Manifest'!$G$25="METRIC",FIXED(OFFSET('SE Manifest'!$N$29,(ROW(AI43)-1)*3,0),4)&amp;CHAR(10)&amp;FIXED(SUM(OFFSET('SE Manifest'!$N$29,(ROW(AI43)-1)*3,0)*35.3147),4),FIXED(OFFSET('SE Manifest'!$N$29,(ROW(AI43)-1)*3,0),4)&amp;CHAR(10)&amp;FIXED(SUM(OFFSET('SE Manifest'!$N$29,(ROW(AI43)-1)*3,0)*0.0283168),4)))</f>
        <v/>
      </c>
      <c r="AJ83" s="217"/>
      <c r="AK83" s="147" t="str">
        <f ca="1">IF(OFFSET('SE Manifest'!$N$29,(ROW(AI43)-1)*3,0)="","",IF('SE Manifest'!$G$25="","",IF('SE Manifest'!$G$25="METRIC","CBM"&amp;CHAR(10)&amp;"CFT","CFT"&amp;CHAR(10)&amp;"CBM")))</f>
        <v/>
      </c>
      <c r="AL83" s="12"/>
    </row>
    <row r="84" spans="1:38" ht="129.94999999999999" hidden="1" customHeight="1">
      <c r="A84" s="12"/>
      <c r="B84" s="121"/>
      <c r="C84" s="213" t="str">
        <f ca="1">IF(OFFSET('SE Manifest'!$A$30,(ROW(C44)-1)*3,0)="","",OFFSET('SE Manifest'!$A$30,(ROW(C44)-1)*3,0))</f>
        <v/>
      </c>
      <c r="D84" s="213"/>
      <c r="E84" s="213"/>
      <c r="F84" s="122"/>
      <c r="G84" s="123"/>
      <c r="H84" s="145" t="str">
        <f ca="1">IF(OFFSET('SE Manifest'!$C$29,(ROW(H44)-1)*3,0)="","",OFFSET('SE Manifest'!$C$29,(ROW(H44)-1)*3,0))</f>
        <v/>
      </c>
      <c r="I84" s="124" t="str">
        <f t="shared" ca="1" si="0"/>
        <v/>
      </c>
      <c r="J84" s="145" t="str">
        <f ca="1">IF(OFFSET('SE Manifest'!$D$29,(ROW(J44)-1)*3,0)="","",OFFSET('SE Manifest'!$D$29,(ROW(J44)-1)*3,0))</f>
        <v/>
      </c>
      <c r="K84" s="122"/>
      <c r="L84" s="123"/>
      <c r="M84" s="213" t="str">
        <f ca="1">IF(OFFSET('SE Manifest'!$E$29,(ROW(M44)-1)*3,0)="","",OFFSET('SE Manifest'!$E$29,(ROW(M44)-1)*3,0)&amp;CHAR(10)&amp;OFFSET('SE Manifest'!$E$30,(ROW(M44)-1)*3,0)&amp;CHAR(10)&amp;OFFSET('SE Manifest'!$E$31,(ROW(M44)-1)*3,0))</f>
        <v/>
      </c>
      <c r="N84" s="213"/>
      <c r="O84" s="213"/>
      <c r="P84" s="213"/>
      <c r="Q84" s="213"/>
      <c r="R84" s="213"/>
      <c r="S84" s="213"/>
      <c r="T84" s="213"/>
      <c r="U84" s="213"/>
      <c r="V84" s="213"/>
      <c r="W84" s="213"/>
      <c r="X84" s="213"/>
      <c r="Y84" s="213"/>
      <c r="Z84" s="213"/>
      <c r="AA84" s="213"/>
      <c r="AB84" s="213"/>
      <c r="AC84" s="213"/>
      <c r="AD84" s="213"/>
      <c r="AE84" s="214" t="str">
        <f ca="1">IF(OFFSET('SE Manifest'!$L$29,(ROW(AE44)-1)*3,0)="","",IF('SE Manifest'!$G$25="METRIC",FIXED(OFFSET('SE Manifest'!$L$29,(ROW(AE44)-1)*3,0),3)&amp;CHAR(10)&amp;FIXED(SUM(OFFSET('SE Manifest'!$L$29,(ROW(AE44)-1)*3,0)*2.20462),3),FIXED(OFFSET('SE Manifest'!$L$29,(ROW(AE44)-1)*3,0),3)&amp;CHAR(10)&amp;FIXED(SUM(OFFSET('SE Manifest'!$L$29,(ROW(AE44)-1)*3,0)*0.453592),3)))</f>
        <v/>
      </c>
      <c r="AF84" s="215"/>
      <c r="AG84" s="215"/>
      <c r="AH84" s="146" t="str">
        <f ca="1">IF(OFFSET('SE Manifest'!$L$29,(ROW(AE44)-1)*3,0)="","",IF('SE Manifest'!$G$25="","",IF('SE Manifest'!$G$25="METRIC","KG"&amp;CHAR(10)&amp;"LBS","LBS"&amp;CHAR(10)&amp;"KG")))</f>
        <v/>
      </c>
      <c r="AI84" s="216" t="str">
        <f ca="1">IF(OFFSET('SE Manifest'!$N$29,(ROW(AI44)-1)*3,0)="","",IF('SE Manifest'!$G$25="METRIC",FIXED(OFFSET('SE Manifest'!$N$29,(ROW(AI44)-1)*3,0),4)&amp;CHAR(10)&amp;FIXED(SUM(OFFSET('SE Manifest'!$N$29,(ROW(AI44)-1)*3,0)*35.3147),4),FIXED(OFFSET('SE Manifest'!$N$29,(ROW(AI44)-1)*3,0),4)&amp;CHAR(10)&amp;FIXED(SUM(OFFSET('SE Manifest'!$N$29,(ROW(AI44)-1)*3,0)*0.0283168),4)))</f>
        <v/>
      </c>
      <c r="AJ84" s="217"/>
      <c r="AK84" s="147" t="str">
        <f ca="1">IF(OFFSET('SE Manifest'!$N$29,(ROW(AI44)-1)*3,0)="","",IF('SE Manifest'!$G$25="","",IF('SE Manifest'!$G$25="METRIC","CBM"&amp;CHAR(10)&amp;"CFT","CFT"&amp;CHAR(10)&amp;"CBM")))</f>
        <v/>
      </c>
      <c r="AL84" s="12"/>
    </row>
    <row r="85" spans="1:38" ht="129.94999999999999" hidden="1" customHeight="1">
      <c r="A85" s="12"/>
      <c r="B85" s="121"/>
      <c r="C85" s="213" t="str">
        <f ca="1">IF(OFFSET('SE Manifest'!$A$30,(ROW(C45)-1)*3,0)="","",OFFSET('SE Manifest'!$A$30,(ROW(C45)-1)*3,0))</f>
        <v/>
      </c>
      <c r="D85" s="213"/>
      <c r="E85" s="213"/>
      <c r="F85" s="122"/>
      <c r="G85" s="123"/>
      <c r="H85" s="145" t="str">
        <f ca="1">IF(OFFSET('SE Manifest'!$C$29,(ROW(H45)-1)*3,0)="","",OFFSET('SE Manifest'!$C$29,(ROW(H45)-1)*3,0))</f>
        <v/>
      </c>
      <c r="I85" s="124" t="str">
        <f t="shared" ca="1" si="0"/>
        <v/>
      </c>
      <c r="J85" s="145" t="str">
        <f ca="1">IF(OFFSET('SE Manifest'!$D$29,(ROW(J45)-1)*3,0)="","",OFFSET('SE Manifest'!$D$29,(ROW(J45)-1)*3,0))</f>
        <v/>
      </c>
      <c r="K85" s="122"/>
      <c r="L85" s="123"/>
      <c r="M85" s="213" t="str">
        <f ca="1">IF(OFFSET('SE Manifest'!$E$29,(ROW(M45)-1)*3,0)="","",OFFSET('SE Manifest'!$E$29,(ROW(M45)-1)*3,0)&amp;CHAR(10)&amp;OFFSET('SE Manifest'!$E$30,(ROW(M45)-1)*3,0)&amp;CHAR(10)&amp;OFFSET('SE Manifest'!$E$31,(ROW(M45)-1)*3,0))</f>
        <v/>
      </c>
      <c r="N85" s="213"/>
      <c r="O85" s="213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4" t="str">
        <f ca="1">IF(OFFSET('SE Manifest'!$L$29,(ROW(AE45)-1)*3,0)="","",IF('SE Manifest'!$G$25="METRIC",FIXED(OFFSET('SE Manifest'!$L$29,(ROW(AE45)-1)*3,0),3)&amp;CHAR(10)&amp;FIXED(SUM(OFFSET('SE Manifest'!$L$29,(ROW(AE45)-1)*3,0)*2.20462),3),FIXED(OFFSET('SE Manifest'!$L$29,(ROW(AE45)-1)*3,0),3)&amp;CHAR(10)&amp;FIXED(SUM(OFFSET('SE Manifest'!$L$29,(ROW(AE45)-1)*3,0)*0.453592),3)))</f>
        <v/>
      </c>
      <c r="AF85" s="215"/>
      <c r="AG85" s="215"/>
      <c r="AH85" s="146" t="str">
        <f ca="1">IF(OFFSET('SE Manifest'!$L$29,(ROW(AE45)-1)*3,0)="","",IF('SE Manifest'!$G$25="","",IF('SE Manifest'!$G$25="METRIC","KG"&amp;CHAR(10)&amp;"LBS","LBS"&amp;CHAR(10)&amp;"KG")))</f>
        <v/>
      </c>
      <c r="AI85" s="216" t="str">
        <f ca="1">IF(OFFSET('SE Manifest'!$N$29,(ROW(AI45)-1)*3,0)="","",IF('SE Manifest'!$G$25="METRIC",FIXED(OFFSET('SE Manifest'!$N$29,(ROW(AI45)-1)*3,0),4)&amp;CHAR(10)&amp;FIXED(SUM(OFFSET('SE Manifest'!$N$29,(ROW(AI45)-1)*3,0)*35.3147),4),FIXED(OFFSET('SE Manifest'!$N$29,(ROW(AI45)-1)*3,0),4)&amp;CHAR(10)&amp;FIXED(SUM(OFFSET('SE Manifest'!$N$29,(ROW(AI45)-1)*3,0)*0.0283168),4)))</f>
        <v/>
      </c>
      <c r="AJ85" s="217"/>
      <c r="AK85" s="147" t="str">
        <f ca="1">IF(OFFSET('SE Manifest'!$N$29,(ROW(AI45)-1)*3,0)="","",IF('SE Manifest'!$G$25="","",IF('SE Manifest'!$G$25="METRIC","CBM"&amp;CHAR(10)&amp;"CFT","CFT"&amp;CHAR(10)&amp;"CBM")))</f>
        <v/>
      </c>
      <c r="AL85" s="12"/>
    </row>
    <row r="86" spans="1:38" ht="129.94999999999999" hidden="1" customHeight="1">
      <c r="A86" s="12"/>
      <c r="B86" s="121"/>
      <c r="C86" s="213" t="str">
        <f ca="1">IF(OFFSET('SE Manifest'!$A$30,(ROW(C46)-1)*3,0)="","",OFFSET('SE Manifest'!$A$30,(ROW(C46)-1)*3,0))</f>
        <v/>
      </c>
      <c r="D86" s="213"/>
      <c r="E86" s="213"/>
      <c r="F86" s="122"/>
      <c r="G86" s="123"/>
      <c r="H86" s="145" t="str">
        <f ca="1">IF(OFFSET('SE Manifest'!$C$29,(ROW(H46)-1)*3,0)="","",OFFSET('SE Manifest'!$C$29,(ROW(H46)-1)*3,0))</f>
        <v/>
      </c>
      <c r="I86" s="124" t="str">
        <f t="shared" ca="1" si="0"/>
        <v/>
      </c>
      <c r="J86" s="145" t="str">
        <f ca="1">IF(OFFSET('SE Manifest'!$D$29,(ROW(J46)-1)*3,0)="","",OFFSET('SE Manifest'!$D$29,(ROW(J46)-1)*3,0))</f>
        <v/>
      </c>
      <c r="K86" s="122"/>
      <c r="L86" s="123"/>
      <c r="M86" s="213" t="str">
        <f ca="1">IF(OFFSET('SE Manifest'!$E$29,(ROW(M46)-1)*3,0)="","",OFFSET('SE Manifest'!$E$29,(ROW(M46)-1)*3,0)&amp;CHAR(10)&amp;OFFSET('SE Manifest'!$E$30,(ROW(M46)-1)*3,0)&amp;CHAR(10)&amp;OFFSET('SE Manifest'!$E$31,(ROW(M46)-1)*3,0))</f>
        <v/>
      </c>
      <c r="N86" s="213"/>
      <c r="O86" s="213"/>
      <c r="P86" s="213"/>
      <c r="Q86" s="213"/>
      <c r="R86" s="213"/>
      <c r="S86" s="213"/>
      <c r="T86" s="213"/>
      <c r="U86" s="213"/>
      <c r="V86" s="213"/>
      <c r="W86" s="213"/>
      <c r="X86" s="213"/>
      <c r="Y86" s="213"/>
      <c r="Z86" s="213"/>
      <c r="AA86" s="213"/>
      <c r="AB86" s="213"/>
      <c r="AC86" s="213"/>
      <c r="AD86" s="213"/>
      <c r="AE86" s="214" t="str">
        <f ca="1">IF(OFFSET('SE Manifest'!$L$29,(ROW(AE46)-1)*3,0)="","",IF('SE Manifest'!$G$25="METRIC",FIXED(OFFSET('SE Manifest'!$L$29,(ROW(AE46)-1)*3,0),3)&amp;CHAR(10)&amp;FIXED(SUM(OFFSET('SE Manifest'!$L$29,(ROW(AE46)-1)*3,0)*2.20462),3),FIXED(OFFSET('SE Manifest'!$L$29,(ROW(AE46)-1)*3,0),3)&amp;CHAR(10)&amp;FIXED(SUM(OFFSET('SE Manifest'!$L$29,(ROW(AE46)-1)*3,0)*0.453592),3)))</f>
        <v/>
      </c>
      <c r="AF86" s="215"/>
      <c r="AG86" s="215"/>
      <c r="AH86" s="146" t="str">
        <f ca="1">IF(OFFSET('SE Manifest'!$L$29,(ROW(AE46)-1)*3,0)="","",IF('SE Manifest'!$G$25="","",IF('SE Manifest'!$G$25="METRIC","KG"&amp;CHAR(10)&amp;"LBS","LBS"&amp;CHAR(10)&amp;"KG")))</f>
        <v/>
      </c>
      <c r="AI86" s="216" t="str">
        <f ca="1">IF(OFFSET('SE Manifest'!$N$29,(ROW(AI46)-1)*3,0)="","",IF('SE Manifest'!$G$25="METRIC",FIXED(OFFSET('SE Manifest'!$N$29,(ROW(AI46)-1)*3,0),4)&amp;CHAR(10)&amp;FIXED(SUM(OFFSET('SE Manifest'!$N$29,(ROW(AI46)-1)*3,0)*35.3147),4),FIXED(OFFSET('SE Manifest'!$N$29,(ROW(AI46)-1)*3,0),4)&amp;CHAR(10)&amp;FIXED(SUM(OFFSET('SE Manifest'!$N$29,(ROW(AI46)-1)*3,0)*0.0283168),4)))</f>
        <v/>
      </c>
      <c r="AJ86" s="217"/>
      <c r="AK86" s="147" t="str">
        <f ca="1">IF(OFFSET('SE Manifest'!$N$29,(ROW(AI46)-1)*3,0)="","",IF('SE Manifest'!$G$25="","",IF('SE Manifest'!$G$25="METRIC","CBM"&amp;CHAR(10)&amp;"CFT","CFT"&amp;CHAR(10)&amp;"CBM")))</f>
        <v/>
      </c>
      <c r="AL86" s="12"/>
    </row>
    <row r="87" spans="1:38" ht="129.94999999999999" hidden="1" customHeight="1">
      <c r="A87" s="12"/>
      <c r="B87" s="121"/>
      <c r="C87" s="213" t="str">
        <f ca="1">IF(OFFSET('SE Manifest'!$A$30,(ROW(C47)-1)*3,0)="","",OFFSET('SE Manifest'!$A$30,(ROW(C47)-1)*3,0))</f>
        <v/>
      </c>
      <c r="D87" s="213"/>
      <c r="E87" s="213"/>
      <c r="F87" s="122"/>
      <c r="G87" s="123"/>
      <c r="H87" s="145" t="str">
        <f ca="1">IF(OFFSET('SE Manifest'!$C$29,(ROW(H47)-1)*3,0)="","",OFFSET('SE Manifest'!$C$29,(ROW(H47)-1)*3,0))</f>
        <v/>
      </c>
      <c r="I87" s="124" t="str">
        <f t="shared" ca="1" si="0"/>
        <v/>
      </c>
      <c r="J87" s="145" t="str">
        <f ca="1">IF(OFFSET('SE Manifest'!$D$29,(ROW(J47)-1)*3,0)="","",OFFSET('SE Manifest'!$D$29,(ROW(J47)-1)*3,0))</f>
        <v/>
      </c>
      <c r="K87" s="122"/>
      <c r="L87" s="123"/>
      <c r="M87" s="213" t="str">
        <f ca="1">IF(OFFSET('SE Manifest'!$E$29,(ROW(M47)-1)*3,0)="","",OFFSET('SE Manifest'!$E$29,(ROW(M47)-1)*3,0)&amp;CHAR(10)&amp;OFFSET('SE Manifest'!$E$30,(ROW(M47)-1)*3,0)&amp;CHAR(10)&amp;OFFSET('SE Manifest'!$E$31,(ROW(M47)-1)*3,0))</f>
        <v/>
      </c>
      <c r="N87" s="213"/>
      <c r="O87" s="213"/>
      <c r="P87" s="213"/>
      <c r="Q87" s="213"/>
      <c r="R87" s="213"/>
      <c r="S87" s="213"/>
      <c r="T87" s="213"/>
      <c r="U87" s="213"/>
      <c r="V87" s="213"/>
      <c r="W87" s="213"/>
      <c r="X87" s="213"/>
      <c r="Y87" s="213"/>
      <c r="Z87" s="213"/>
      <c r="AA87" s="213"/>
      <c r="AB87" s="213"/>
      <c r="AC87" s="213"/>
      <c r="AD87" s="213"/>
      <c r="AE87" s="214" t="str">
        <f ca="1">IF(OFFSET('SE Manifest'!$L$29,(ROW(AE47)-1)*3,0)="","",IF('SE Manifest'!$G$25="METRIC",FIXED(OFFSET('SE Manifest'!$L$29,(ROW(AE47)-1)*3,0),3)&amp;CHAR(10)&amp;FIXED(SUM(OFFSET('SE Manifest'!$L$29,(ROW(AE47)-1)*3,0)*2.20462),3),FIXED(OFFSET('SE Manifest'!$L$29,(ROW(AE47)-1)*3,0),3)&amp;CHAR(10)&amp;FIXED(SUM(OFFSET('SE Manifest'!$L$29,(ROW(AE47)-1)*3,0)*0.453592),3)))</f>
        <v/>
      </c>
      <c r="AF87" s="215"/>
      <c r="AG87" s="215"/>
      <c r="AH87" s="146" t="str">
        <f ca="1">IF(OFFSET('SE Manifest'!$L$29,(ROW(AE47)-1)*3,0)="","",IF('SE Manifest'!$G$25="","",IF('SE Manifest'!$G$25="METRIC","KG"&amp;CHAR(10)&amp;"LBS","LBS"&amp;CHAR(10)&amp;"KG")))</f>
        <v/>
      </c>
      <c r="AI87" s="216" t="str">
        <f ca="1">IF(OFFSET('SE Manifest'!$N$29,(ROW(AI47)-1)*3,0)="","",IF('SE Manifest'!$G$25="METRIC",FIXED(OFFSET('SE Manifest'!$N$29,(ROW(AI47)-1)*3,0),4)&amp;CHAR(10)&amp;FIXED(SUM(OFFSET('SE Manifest'!$N$29,(ROW(AI47)-1)*3,0)*35.3147),4),FIXED(OFFSET('SE Manifest'!$N$29,(ROW(AI47)-1)*3,0),4)&amp;CHAR(10)&amp;FIXED(SUM(OFFSET('SE Manifest'!$N$29,(ROW(AI47)-1)*3,0)*0.0283168),4)))</f>
        <v/>
      </c>
      <c r="AJ87" s="217"/>
      <c r="AK87" s="147" t="str">
        <f ca="1">IF(OFFSET('SE Manifest'!$N$29,(ROW(AI47)-1)*3,0)="","",IF('SE Manifest'!$G$25="","",IF('SE Manifest'!$G$25="METRIC","CBM"&amp;CHAR(10)&amp;"CFT","CFT"&amp;CHAR(10)&amp;"CBM")))</f>
        <v/>
      </c>
      <c r="AL87" s="12"/>
    </row>
    <row r="88" spans="1:38" ht="129.94999999999999" hidden="1" customHeight="1">
      <c r="A88" s="12"/>
      <c r="B88" s="121"/>
      <c r="C88" s="213" t="str">
        <f ca="1">IF(OFFSET('SE Manifest'!$A$30,(ROW(C48)-1)*3,0)="","",OFFSET('SE Manifest'!$A$30,(ROW(C48)-1)*3,0))</f>
        <v/>
      </c>
      <c r="D88" s="213"/>
      <c r="E88" s="213"/>
      <c r="F88" s="122"/>
      <c r="G88" s="123"/>
      <c r="H88" s="145" t="str">
        <f ca="1">IF(OFFSET('SE Manifest'!$C$29,(ROW(H48)-1)*3,0)="","",OFFSET('SE Manifest'!$C$29,(ROW(H48)-1)*3,0))</f>
        <v/>
      </c>
      <c r="I88" s="124" t="str">
        <f t="shared" ca="1" si="0"/>
        <v/>
      </c>
      <c r="J88" s="145" t="str">
        <f ca="1">IF(OFFSET('SE Manifest'!$D$29,(ROW(J48)-1)*3,0)="","",OFFSET('SE Manifest'!$D$29,(ROW(J48)-1)*3,0))</f>
        <v/>
      </c>
      <c r="K88" s="122"/>
      <c r="L88" s="123"/>
      <c r="M88" s="213" t="str">
        <f ca="1">IF(OFFSET('SE Manifest'!$E$29,(ROW(M48)-1)*3,0)="","",OFFSET('SE Manifest'!$E$29,(ROW(M48)-1)*3,0)&amp;CHAR(10)&amp;OFFSET('SE Manifest'!$E$30,(ROW(M48)-1)*3,0)&amp;CHAR(10)&amp;OFFSET('SE Manifest'!$E$31,(ROW(M48)-1)*3,0))</f>
        <v/>
      </c>
      <c r="N88" s="213"/>
      <c r="O88" s="213"/>
      <c r="P88" s="213"/>
      <c r="Q88" s="213"/>
      <c r="R88" s="213"/>
      <c r="S88" s="213"/>
      <c r="T88" s="213"/>
      <c r="U88" s="213"/>
      <c r="V88" s="213"/>
      <c r="W88" s="213"/>
      <c r="X88" s="213"/>
      <c r="Y88" s="213"/>
      <c r="Z88" s="213"/>
      <c r="AA88" s="213"/>
      <c r="AB88" s="213"/>
      <c r="AC88" s="213"/>
      <c r="AD88" s="213"/>
      <c r="AE88" s="214" t="str">
        <f ca="1">IF(OFFSET('SE Manifest'!$L$29,(ROW(AE48)-1)*3,0)="","",IF('SE Manifest'!$G$25="METRIC",FIXED(OFFSET('SE Manifest'!$L$29,(ROW(AE48)-1)*3,0),3)&amp;CHAR(10)&amp;FIXED(SUM(OFFSET('SE Manifest'!$L$29,(ROW(AE48)-1)*3,0)*2.20462),3),FIXED(OFFSET('SE Manifest'!$L$29,(ROW(AE48)-1)*3,0),3)&amp;CHAR(10)&amp;FIXED(SUM(OFFSET('SE Manifest'!$L$29,(ROW(AE48)-1)*3,0)*0.453592),3)))</f>
        <v/>
      </c>
      <c r="AF88" s="215"/>
      <c r="AG88" s="215"/>
      <c r="AH88" s="146" t="str">
        <f ca="1">IF(OFFSET('SE Manifest'!$L$29,(ROW(AE48)-1)*3,0)="","",IF('SE Manifest'!$G$25="","",IF('SE Manifest'!$G$25="METRIC","KG"&amp;CHAR(10)&amp;"LBS","LBS"&amp;CHAR(10)&amp;"KG")))</f>
        <v/>
      </c>
      <c r="AI88" s="216" t="str">
        <f ca="1">IF(OFFSET('SE Manifest'!$N$29,(ROW(AI48)-1)*3,0)="","",IF('SE Manifest'!$G$25="METRIC",FIXED(OFFSET('SE Manifest'!$N$29,(ROW(AI48)-1)*3,0),4)&amp;CHAR(10)&amp;FIXED(SUM(OFFSET('SE Manifest'!$N$29,(ROW(AI48)-1)*3,0)*35.3147),4),FIXED(OFFSET('SE Manifest'!$N$29,(ROW(AI48)-1)*3,0),4)&amp;CHAR(10)&amp;FIXED(SUM(OFFSET('SE Manifest'!$N$29,(ROW(AI48)-1)*3,0)*0.0283168),4)))</f>
        <v/>
      </c>
      <c r="AJ88" s="217"/>
      <c r="AK88" s="147" t="str">
        <f ca="1">IF(OFFSET('SE Manifest'!$N$29,(ROW(AI48)-1)*3,0)="","",IF('SE Manifest'!$G$25="","",IF('SE Manifest'!$G$25="METRIC","CBM"&amp;CHAR(10)&amp;"CFT","CFT"&amp;CHAR(10)&amp;"CBM")))</f>
        <v/>
      </c>
      <c r="AL88" s="12"/>
    </row>
    <row r="89" spans="1:38" ht="129.94999999999999" hidden="1" customHeight="1">
      <c r="A89" s="12"/>
      <c r="B89" s="121"/>
      <c r="C89" s="213" t="str">
        <f ca="1">IF(OFFSET('SE Manifest'!$A$30,(ROW(C49)-1)*3,0)="","",OFFSET('SE Manifest'!$A$30,(ROW(C49)-1)*3,0))</f>
        <v/>
      </c>
      <c r="D89" s="213"/>
      <c r="E89" s="213"/>
      <c r="F89" s="122"/>
      <c r="G89" s="123"/>
      <c r="H89" s="145" t="str">
        <f ca="1">IF(OFFSET('SE Manifest'!$C$29,(ROW(H49)-1)*3,0)="","",OFFSET('SE Manifest'!$C$29,(ROW(H49)-1)*3,0))</f>
        <v/>
      </c>
      <c r="I89" s="124" t="str">
        <f t="shared" ca="1" si="0"/>
        <v/>
      </c>
      <c r="J89" s="145" t="str">
        <f ca="1">IF(OFFSET('SE Manifest'!$D$29,(ROW(J49)-1)*3,0)="","",OFFSET('SE Manifest'!$D$29,(ROW(J49)-1)*3,0))</f>
        <v/>
      </c>
      <c r="K89" s="122"/>
      <c r="L89" s="123"/>
      <c r="M89" s="213" t="str">
        <f ca="1">IF(OFFSET('SE Manifest'!$E$29,(ROW(M49)-1)*3,0)="","",OFFSET('SE Manifest'!$E$29,(ROW(M49)-1)*3,0)&amp;CHAR(10)&amp;OFFSET('SE Manifest'!$E$30,(ROW(M49)-1)*3,0)&amp;CHAR(10)&amp;OFFSET('SE Manifest'!$E$31,(ROW(M49)-1)*3,0))</f>
        <v/>
      </c>
      <c r="N89" s="213"/>
      <c r="O89" s="213"/>
      <c r="P89" s="213"/>
      <c r="Q89" s="213"/>
      <c r="R89" s="213"/>
      <c r="S89" s="213"/>
      <c r="T89" s="213"/>
      <c r="U89" s="213"/>
      <c r="V89" s="213"/>
      <c r="W89" s="213"/>
      <c r="X89" s="213"/>
      <c r="Y89" s="213"/>
      <c r="Z89" s="213"/>
      <c r="AA89" s="213"/>
      <c r="AB89" s="213"/>
      <c r="AC89" s="213"/>
      <c r="AD89" s="213"/>
      <c r="AE89" s="214" t="str">
        <f ca="1">IF(OFFSET('SE Manifest'!$L$29,(ROW(AE49)-1)*3,0)="","",IF('SE Manifest'!$G$25="METRIC",FIXED(OFFSET('SE Manifest'!$L$29,(ROW(AE49)-1)*3,0),3)&amp;CHAR(10)&amp;FIXED(SUM(OFFSET('SE Manifest'!$L$29,(ROW(AE49)-1)*3,0)*2.20462),3),FIXED(OFFSET('SE Manifest'!$L$29,(ROW(AE49)-1)*3,0),3)&amp;CHAR(10)&amp;FIXED(SUM(OFFSET('SE Manifest'!$L$29,(ROW(AE49)-1)*3,0)*0.453592),3)))</f>
        <v/>
      </c>
      <c r="AF89" s="215"/>
      <c r="AG89" s="215"/>
      <c r="AH89" s="146" t="str">
        <f ca="1">IF(OFFSET('SE Manifest'!$L$29,(ROW(AE49)-1)*3,0)="","",IF('SE Manifest'!$G$25="","",IF('SE Manifest'!$G$25="METRIC","KG"&amp;CHAR(10)&amp;"LBS","LBS"&amp;CHAR(10)&amp;"KG")))</f>
        <v/>
      </c>
      <c r="AI89" s="216" t="str">
        <f ca="1">IF(OFFSET('SE Manifest'!$N$29,(ROW(AI49)-1)*3,0)="","",IF('SE Manifest'!$G$25="METRIC",FIXED(OFFSET('SE Manifest'!$N$29,(ROW(AI49)-1)*3,0),4)&amp;CHAR(10)&amp;FIXED(SUM(OFFSET('SE Manifest'!$N$29,(ROW(AI49)-1)*3,0)*35.3147),4),FIXED(OFFSET('SE Manifest'!$N$29,(ROW(AI49)-1)*3,0),4)&amp;CHAR(10)&amp;FIXED(SUM(OFFSET('SE Manifest'!$N$29,(ROW(AI49)-1)*3,0)*0.0283168),4)))</f>
        <v/>
      </c>
      <c r="AJ89" s="217"/>
      <c r="AK89" s="147" t="str">
        <f ca="1">IF(OFFSET('SE Manifest'!$N$29,(ROW(AI49)-1)*3,0)="","",IF('SE Manifest'!$G$25="","",IF('SE Manifest'!$G$25="METRIC","CBM"&amp;CHAR(10)&amp;"CFT","CFT"&amp;CHAR(10)&amp;"CBM")))</f>
        <v/>
      </c>
      <c r="AL89" s="12"/>
    </row>
    <row r="90" spans="1:38" ht="129.94999999999999" hidden="1" customHeight="1">
      <c r="A90" s="12"/>
      <c r="B90" s="121"/>
      <c r="C90" s="213" t="str">
        <f ca="1">IF(OFFSET('SE Manifest'!$A$30,(ROW(C50)-1)*3,0)="","",OFFSET('SE Manifest'!$A$30,(ROW(C50)-1)*3,0))</f>
        <v/>
      </c>
      <c r="D90" s="213"/>
      <c r="E90" s="213"/>
      <c r="F90" s="122"/>
      <c r="G90" s="123"/>
      <c r="H90" s="145" t="str">
        <f ca="1">IF(OFFSET('SE Manifest'!$C$29,(ROW(H50)-1)*3,0)="","",OFFSET('SE Manifest'!$C$29,(ROW(H50)-1)*3,0))</f>
        <v/>
      </c>
      <c r="I90" s="124" t="str">
        <f t="shared" ca="1" si="0"/>
        <v/>
      </c>
      <c r="J90" s="145" t="str">
        <f ca="1">IF(OFFSET('SE Manifest'!$D$29,(ROW(J50)-1)*3,0)="","",OFFSET('SE Manifest'!$D$29,(ROW(J50)-1)*3,0))</f>
        <v/>
      </c>
      <c r="K90" s="122"/>
      <c r="L90" s="123"/>
      <c r="M90" s="213" t="str">
        <f ca="1">IF(OFFSET('SE Manifest'!$E$29,(ROW(M50)-1)*3,0)="","",OFFSET('SE Manifest'!$E$29,(ROW(M50)-1)*3,0)&amp;CHAR(10)&amp;OFFSET('SE Manifest'!$E$30,(ROW(M50)-1)*3,0)&amp;CHAR(10)&amp;OFFSET('SE Manifest'!$E$31,(ROW(M50)-1)*3,0))</f>
        <v/>
      </c>
      <c r="N90" s="213"/>
      <c r="O90" s="213"/>
      <c r="P90" s="213"/>
      <c r="Q90" s="213"/>
      <c r="R90" s="213"/>
      <c r="S90" s="213"/>
      <c r="T90" s="213"/>
      <c r="U90" s="213"/>
      <c r="V90" s="213"/>
      <c r="W90" s="213"/>
      <c r="X90" s="213"/>
      <c r="Y90" s="213"/>
      <c r="Z90" s="213"/>
      <c r="AA90" s="213"/>
      <c r="AB90" s="213"/>
      <c r="AC90" s="213"/>
      <c r="AD90" s="213"/>
      <c r="AE90" s="214" t="str">
        <f ca="1">IF(OFFSET('SE Manifest'!$L$29,(ROW(AE50)-1)*3,0)="","",IF('SE Manifest'!$G$25="METRIC",FIXED(OFFSET('SE Manifest'!$L$29,(ROW(AE50)-1)*3,0),3)&amp;CHAR(10)&amp;FIXED(SUM(OFFSET('SE Manifest'!$L$29,(ROW(AE50)-1)*3,0)*2.20462),3),FIXED(OFFSET('SE Manifest'!$L$29,(ROW(AE50)-1)*3,0),3)&amp;CHAR(10)&amp;FIXED(SUM(OFFSET('SE Manifest'!$L$29,(ROW(AE50)-1)*3,0)*0.453592),3)))</f>
        <v/>
      </c>
      <c r="AF90" s="215"/>
      <c r="AG90" s="215"/>
      <c r="AH90" s="146" t="str">
        <f ca="1">IF(OFFSET('SE Manifest'!$L$29,(ROW(AE50)-1)*3,0)="","",IF('SE Manifest'!$G$25="","",IF('SE Manifest'!$G$25="METRIC","KG"&amp;CHAR(10)&amp;"LBS","LBS"&amp;CHAR(10)&amp;"KG")))</f>
        <v/>
      </c>
      <c r="AI90" s="217" t="str">
        <f ca="1">IF(OFFSET('SE Manifest'!$N$29,(ROW(AI50)-1)*3,0)="","",IF('SE Manifest'!$G$25="METRIC",FIXED(OFFSET('SE Manifest'!$N$29,(ROW(AI50)-1)*3,0),4)&amp;CHAR(10)&amp;FIXED(SUM(OFFSET('SE Manifest'!$N$29,(ROW(AI50)-1)*3,0)*35.3147),4),FIXED(OFFSET('SE Manifest'!$N$29,(ROW(AI50)-1)*3,0),4)&amp;CHAR(10)&amp;FIXED(SUM(OFFSET('SE Manifest'!$N$29,(ROW(AI50)-1)*3,0)*0.0283168),4)))</f>
        <v/>
      </c>
      <c r="AJ90" s="217"/>
      <c r="AK90" s="147" t="str">
        <f ca="1">IF(OFFSET('SE Manifest'!$N$29,(ROW(AI50)-1)*3,0)="","",IF('SE Manifest'!$G$25="","",IF('SE Manifest'!$G$25="METRIC","CBM"&amp;CHAR(10)&amp;"CFT","CFT"&amp;CHAR(10)&amp;"CBM")))</f>
        <v/>
      </c>
      <c r="AL90" s="12"/>
    </row>
    <row r="91" spans="1:38" ht="24.95" customHeight="1">
      <c r="A91" s="12"/>
      <c r="B91" s="111"/>
      <c r="C91" s="207"/>
      <c r="D91" s="207"/>
      <c r="E91" s="207"/>
      <c r="F91" s="111"/>
      <c r="G91" s="111"/>
      <c r="H91" s="112"/>
      <c r="I91" s="142"/>
      <c r="J91" s="127"/>
      <c r="K91" s="111"/>
      <c r="L91" s="111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  <c r="X91" s="208"/>
      <c r="Y91" s="208"/>
      <c r="Z91" s="208"/>
      <c r="AA91" s="208"/>
      <c r="AB91" s="208"/>
      <c r="AC91" s="208"/>
      <c r="AD91" s="208"/>
      <c r="AE91" s="209"/>
      <c r="AF91" s="209"/>
      <c r="AG91" s="209"/>
      <c r="AH91" s="134"/>
      <c r="AI91" s="128"/>
      <c r="AJ91" s="128"/>
      <c r="AK91" s="142"/>
      <c r="AL91" s="12"/>
    </row>
    <row r="92" spans="1:38" ht="24.95" customHeight="1">
      <c r="A92" s="12"/>
      <c r="B92" s="111"/>
      <c r="F92" s="139" t="s">
        <v>308</v>
      </c>
      <c r="G92" s="206" t="str">
        <f ca="1">IF(H41="","",'SE Manifest'!G180)</f>
        <v/>
      </c>
      <c r="H92" s="206"/>
      <c r="I92" s="206"/>
      <c r="J92" s="206"/>
      <c r="K92" s="206"/>
      <c r="L92" s="111"/>
      <c r="AE92" s="204" t="str">
        <f>IF('SE Manifest'!J180="","",'SE Manifest'!J180)</f>
        <v/>
      </c>
      <c r="AF92" s="204"/>
      <c r="AG92" s="204"/>
      <c r="AH92" s="140" t="str">
        <f>IF('SE Manifest'!$G$25="IMPERIAL","LBS","KGS")</f>
        <v>KGS</v>
      </c>
      <c r="AI92" s="204" t="str">
        <f>IF('SE Manifest'!L180="","",'SE Manifest'!L180)</f>
        <v/>
      </c>
      <c r="AJ92" s="204"/>
      <c r="AK92" s="125" t="str">
        <f>IF('SE Manifest'!$G$25="IMPERIAL","CFT","CBM")</f>
        <v>CBM</v>
      </c>
      <c r="AL92" s="12"/>
    </row>
    <row r="93" spans="1:38" ht="24.95" customHeight="1">
      <c r="A93" s="12"/>
      <c r="B93" s="111"/>
      <c r="F93" s="136"/>
      <c r="G93" s="135"/>
      <c r="H93" s="131"/>
      <c r="I93" s="131"/>
      <c r="J93" s="131"/>
      <c r="K93" s="135"/>
      <c r="L93" s="111"/>
      <c r="AE93" s="204" t="str">
        <f>IF('SE Manifest'!J180="","",IF('SE Manifest'!$G$25="IMPERIAL",SUM('SE Manifest'!J180*0.453592),SUM('SE Manifest'!J180*2.20462)))</f>
        <v/>
      </c>
      <c r="AF93" s="204"/>
      <c r="AG93" s="204"/>
      <c r="AH93" s="125" t="str">
        <f>IF('SE Manifest'!$G$25="IMPERIAL","KG","LBS")</f>
        <v>LBS</v>
      </c>
      <c r="AI93" s="204" t="str">
        <f>IF('SE Manifest'!L180="","",IF('SE Manifest'!$G$25="IMPERIAL",SUM('SE Manifest'!L180*0.0283168),SUM('SE Manifest'!L180*35.3147)))</f>
        <v/>
      </c>
      <c r="AJ93" s="204"/>
      <c r="AK93" s="141" t="str">
        <f>IF('SE Manifest'!$G$25="IMPERIAL","CBM","CFT")</f>
        <v>CFT</v>
      </c>
      <c r="AL93" s="12"/>
    </row>
    <row r="94" spans="1:38" s="115" customFormat="1" ht="50.1" customHeight="1">
      <c r="A94" s="113"/>
      <c r="B94" s="114"/>
      <c r="F94" s="137"/>
      <c r="G94" s="137"/>
      <c r="H94" s="132"/>
      <c r="I94" s="132"/>
      <c r="J94" s="132"/>
      <c r="K94" s="137"/>
      <c r="L94" s="114"/>
      <c r="M94" s="212"/>
      <c r="N94" s="212"/>
      <c r="O94" s="212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  <c r="AA94" s="212"/>
      <c r="AB94" s="212"/>
      <c r="AC94" s="212"/>
      <c r="AD94" s="212"/>
      <c r="AE94" s="203"/>
      <c r="AF94" s="203"/>
      <c r="AG94" s="203"/>
      <c r="AH94" s="138"/>
      <c r="AI94" s="203"/>
      <c r="AJ94" s="203"/>
      <c r="AK94" s="126"/>
      <c r="AL94" s="113"/>
    </row>
    <row r="95" spans="1:38" ht="24.95" customHeight="1">
      <c r="A95" s="12"/>
      <c r="B95" s="111"/>
      <c r="C95" s="201" t="s">
        <v>313</v>
      </c>
      <c r="D95" s="201"/>
      <c r="E95" s="201"/>
      <c r="L95" s="111"/>
      <c r="T95" s="210" t="s">
        <v>252</v>
      </c>
      <c r="U95" s="210"/>
      <c r="V95" s="210"/>
      <c r="W95" s="210"/>
      <c r="X95" s="210"/>
      <c r="Y95" s="210"/>
      <c r="Z95" s="210"/>
      <c r="AA95" s="210"/>
      <c r="AB95" s="210"/>
      <c r="AC95" s="210"/>
      <c r="AD95" s="129"/>
      <c r="AE95" s="129"/>
      <c r="AF95" s="129"/>
      <c r="AG95" s="129"/>
      <c r="AH95" s="129"/>
      <c r="AI95" s="129"/>
      <c r="AJ95" s="129"/>
      <c r="AK95" s="129"/>
      <c r="AL95" s="12"/>
    </row>
    <row r="96" spans="1:38" ht="24.95" customHeight="1">
      <c r="A96" s="12"/>
      <c r="B96" s="143"/>
      <c r="C96" s="199" t="str">
        <f>IF(B7="","",B7)</f>
        <v/>
      </c>
      <c r="D96" s="199"/>
      <c r="E96" s="199"/>
      <c r="F96" s="143"/>
      <c r="G96" s="205"/>
      <c r="H96" s="205"/>
      <c r="I96" s="205"/>
      <c r="J96" s="205"/>
      <c r="K96" s="205"/>
      <c r="L96" s="111"/>
      <c r="T96" s="211" t="s">
        <v>252</v>
      </c>
      <c r="U96" s="211"/>
      <c r="V96" s="211"/>
      <c r="W96" s="211"/>
      <c r="X96" s="211"/>
      <c r="Y96" s="211"/>
      <c r="Z96" s="211"/>
      <c r="AA96" s="211"/>
      <c r="AB96" s="211"/>
      <c r="AC96" s="211"/>
      <c r="AD96" s="211"/>
      <c r="AE96" s="211"/>
      <c r="AF96" s="211"/>
      <c r="AG96" s="211"/>
      <c r="AH96" s="211"/>
      <c r="AI96" s="211"/>
      <c r="AJ96" s="211"/>
      <c r="AK96" s="211"/>
      <c r="AL96" s="12"/>
    </row>
    <row r="97" spans="1:36" ht="20.25">
      <c r="A97" s="12"/>
      <c r="B97" s="116"/>
      <c r="C97" s="200" t="str">
        <f>IF(F7="","",F7)</f>
        <v/>
      </c>
      <c r="D97" s="200"/>
      <c r="E97" s="200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</row>
    <row r="98" spans="1:36">
      <c r="B98" s="117"/>
      <c r="C98" s="117"/>
      <c r="D98" s="117"/>
      <c r="E98" s="117"/>
      <c r="F98" s="117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</row>
    <row r="99" spans="1:36">
      <c r="B99" s="117"/>
      <c r="F99" s="117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7"/>
      <c r="AI99" s="117"/>
      <c r="AJ99" s="117"/>
    </row>
    <row r="100" spans="1:36" ht="20.25">
      <c r="B100" s="117"/>
      <c r="D100" s="132"/>
      <c r="E100" s="132"/>
      <c r="F100" s="117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7"/>
      <c r="AI100" s="117"/>
      <c r="AJ100" s="117"/>
    </row>
    <row r="101" spans="1:36" ht="20.25">
      <c r="B101" s="117"/>
      <c r="D101" s="133"/>
      <c r="E101" s="133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  <c r="AA101" s="117"/>
      <c r="AB101" s="117"/>
      <c r="AC101" s="117"/>
      <c r="AD101" s="117"/>
      <c r="AE101" s="117"/>
      <c r="AF101" s="117"/>
      <c r="AG101" s="117"/>
      <c r="AH101" s="117"/>
      <c r="AI101" s="117"/>
      <c r="AJ101" s="117"/>
    </row>
    <row r="102" spans="1:36">
      <c r="B102" s="117"/>
      <c r="C102" s="117"/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  <c r="AA102" s="117"/>
      <c r="AB102" s="117"/>
      <c r="AC102" s="117"/>
      <c r="AD102" s="117"/>
      <c r="AE102" s="117"/>
      <c r="AF102" s="117"/>
      <c r="AG102" s="117"/>
      <c r="AH102" s="117"/>
      <c r="AI102" s="117"/>
      <c r="AJ102" s="117"/>
    </row>
    <row r="103" spans="1:36">
      <c r="B103" s="117"/>
      <c r="C103" s="117"/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  <c r="AA103" s="117"/>
      <c r="AB103" s="117"/>
      <c r="AC103" s="117"/>
      <c r="AD103" s="117"/>
      <c r="AE103" s="117"/>
      <c r="AF103" s="117"/>
      <c r="AG103" s="117"/>
      <c r="AH103" s="117"/>
      <c r="AI103" s="117"/>
      <c r="AJ103" s="117"/>
    </row>
    <row r="104" spans="1:36">
      <c r="B104" s="117"/>
      <c r="C104" s="117"/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  <c r="AA104" s="117"/>
      <c r="AB104" s="117"/>
      <c r="AC104" s="117"/>
      <c r="AD104" s="117"/>
      <c r="AE104" s="117"/>
      <c r="AF104" s="117"/>
      <c r="AG104" s="117"/>
      <c r="AH104" s="117"/>
      <c r="AI104" s="117"/>
      <c r="AJ104" s="117"/>
    </row>
    <row r="105" spans="1:36">
      <c r="B105" s="117"/>
      <c r="C105" s="117"/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  <c r="AD105" s="117"/>
      <c r="AE105" s="117"/>
      <c r="AF105" s="117"/>
      <c r="AG105" s="117"/>
      <c r="AH105" s="117"/>
      <c r="AI105" s="117"/>
      <c r="AJ105" s="117"/>
    </row>
    <row r="106" spans="1:36">
      <c r="B106" s="117"/>
      <c r="C106" s="117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  <c r="AA106" s="117"/>
      <c r="AB106" s="117"/>
      <c r="AC106" s="117"/>
      <c r="AD106" s="117"/>
      <c r="AE106" s="117"/>
      <c r="AF106" s="117"/>
      <c r="AG106" s="117"/>
      <c r="AH106" s="117"/>
      <c r="AI106" s="117"/>
      <c r="AJ106" s="117"/>
    </row>
    <row r="107" spans="1:36">
      <c r="B107" s="117"/>
      <c r="C107" s="117"/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  <c r="AA107" s="117"/>
      <c r="AB107" s="117"/>
      <c r="AC107" s="117"/>
      <c r="AD107" s="117"/>
      <c r="AE107" s="117"/>
      <c r="AF107" s="117"/>
      <c r="AG107" s="117"/>
      <c r="AH107" s="117"/>
      <c r="AI107" s="117"/>
      <c r="AJ107" s="117"/>
    </row>
    <row r="108" spans="1:36">
      <c r="B108" s="117"/>
      <c r="C108" s="117"/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  <c r="AA108" s="117"/>
      <c r="AB108" s="117"/>
      <c r="AC108" s="117"/>
      <c r="AD108" s="117"/>
      <c r="AE108" s="117"/>
      <c r="AF108" s="117"/>
      <c r="AG108" s="117"/>
      <c r="AH108" s="117"/>
      <c r="AI108" s="117"/>
      <c r="AJ108" s="117"/>
    </row>
    <row r="109" spans="1:36"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  <c r="AA109" s="117"/>
      <c r="AB109" s="117"/>
      <c r="AC109" s="117"/>
      <c r="AD109" s="117"/>
      <c r="AE109" s="117"/>
      <c r="AF109" s="117"/>
      <c r="AG109" s="117"/>
      <c r="AH109" s="117"/>
      <c r="AI109" s="117"/>
      <c r="AJ109" s="117"/>
    </row>
  </sheetData>
  <sheetProtection algorithmName="SHA-512" hashValue="LmhaKl4uqpn1qnF23mLyOIm3z7LzA3t1AHRYFSYJ2gQdTLjTivqjy7K7H3NiQama1si0Hkd1asYGKSJZjN5OkQ==" saltValue="D6SY1YhmSZmHMy1WjzuJQw==" spinCount="100000" sheet="1" scenarios="1"/>
  <mergeCells count="280">
    <mergeCell ref="AI83:AJ83"/>
    <mergeCell ref="AI84:AJ84"/>
    <mergeCell ref="AI85:AJ85"/>
    <mergeCell ref="AI86:AJ86"/>
    <mergeCell ref="AI87:AJ87"/>
    <mergeCell ref="AI88:AJ88"/>
    <mergeCell ref="AI89:AJ89"/>
    <mergeCell ref="AI90:AJ90"/>
    <mergeCell ref="AI74:AJ74"/>
    <mergeCell ref="AI75:AJ75"/>
    <mergeCell ref="AI76:AJ76"/>
    <mergeCell ref="AI77:AJ77"/>
    <mergeCell ref="AI78:AJ78"/>
    <mergeCell ref="AI79:AJ79"/>
    <mergeCell ref="AI80:AJ80"/>
    <mergeCell ref="AI81:AJ81"/>
    <mergeCell ref="AI82:AJ82"/>
    <mergeCell ref="AE90:AG90"/>
    <mergeCell ref="AI51:AJ51"/>
    <mergeCell ref="AI52:AJ52"/>
    <mergeCell ref="AI53:AJ53"/>
    <mergeCell ref="AI54:AJ54"/>
    <mergeCell ref="AI55:AJ55"/>
    <mergeCell ref="AI56:AJ56"/>
    <mergeCell ref="AI57:AJ57"/>
    <mergeCell ref="AI58:AJ58"/>
    <mergeCell ref="AI59:AJ59"/>
    <mergeCell ref="AI60:AJ60"/>
    <mergeCell ref="AI61:AJ61"/>
    <mergeCell ref="AI62:AJ62"/>
    <mergeCell ref="AI63:AJ63"/>
    <mergeCell ref="AI64:AJ64"/>
    <mergeCell ref="AI65:AJ65"/>
    <mergeCell ref="AI66:AJ66"/>
    <mergeCell ref="AI67:AJ67"/>
    <mergeCell ref="AI68:AJ68"/>
    <mergeCell ref="AI69:AJ69"/>
    <mergeCell ref="AI70:AJ70"/>
    <mergeCell ref="AI71:AJ71"/>
    <mergeCell ref="AI72:AJ72"/>
    <mergeCell ref="AI73:AJ73"/>
    <mergeCell ref="AE81:AG81"/>
    <mergeCell ref="AE82:AG82"/>
    <mergeCell ref="AE83:AG83"/>
    <mergeCell ref="AE84:AG84"/>
    <mergeCell ref="AE85:AG85"/>
    <mergeCell ref="AE86:AG86"/>
    <mergeCell ref="AE87:AG87"/>
    <mergeCell ref="AE88:AG88"/>
    <mergeCell ref="AE89:AG89"/>
    <mergeCell ref="AE72:AG72"/>
    <mergeCell ref="AE73:AG73"/>
    <mergeCell ref="AE74:AG74"/>
    <mergeCell ref="AE75:AG75"/>
    <mergeCell ref="AE76:AG76"/>
    <mergeCell ref="AE77:AG77"/>
    <mergeCell ref="AE78:AG78"/>
    <mergeCell ref="AE79:AG79"/>
    <mergeCell ref="AE80:AG80"/>
    <mergeCell ref="M88:AD88"/>
    <mergeCell ref="M89:AD89"/>
    <mergeCell ref="M90:AD90"/>
    <mergeCell ref="AE51:AG51"/>
    <mergeCell ref="AE52:AG52"/>
    <mergeCell ref="AE53:AG53"/>
    <mergeCell ref="AE54:AG54"/>
    <mergeCell ref="AE55:AG55"/>
    <mergeCell ref="AE56:AG56"/>
    <mergeCell ref="AE57:AG57"/>
    <mergeCell ref="AE58:AG58"/>
    <mergeCell ref="AE59:AG59"/>
    <mergeCell ref="AE60:AG60"/>
    <mergeCell ref="AE61:AG61"/>
    <mergeCell ref="AE62:AG62"/>
    <mergeCell ref="AE63:AG63"/>
    <mergeCell ref="AE64:AG64"/>
    <mergeCell ref="AE65:AG65"/>
    <mergeCell ref="AE66:AG66"/>
    <mergeCell ref="AE67:AG67"/>
    <mergeCell ref="AE68:AG68"/>
    <mergeCell ref="AE69:AG69"/>
    <mergeCell ref="AE70:AG70"/>
    <mergeCell ref="AE71:AG71"/>
    <mergeCell ref="M79:AD79"/>
    <mergeCell ref="M80:AD80"/>
    <mergeCell ref="M81:AD81"/>
    <mergeCell ref="M82:AD82"/>
    <mergeCell ref="M83:AD83"/>
    <mergeCell ref="M84:AD84"/>
    <mergeCell ref="M85:AD85"/>
    <mergeCell ref="M86:AD86"/>
    <mergeCell ref="M87:AD87"/>
    <mergeCell ref="M70:AD70"/>
    <mergeCell ref="M71:AD71"/>
    <mergeCell ref="M72:AD72"/>
    <mergeCell ref="M73:AD73"/>
    <mergeCell ref="M74:AD74"/>
    <mergeCell ref="M75:AD75"/>
    <mergeCell ref="M76:AD76"/>
    <mergeCell ref="M77:AD77"/>
    <mergeCell ref="M78:AD78"/>
    <mergeCell ref="M61:AD61"/>
    <mergeCell ref="M62:AD62"/>
    <mergeCell ref="M63:AD63"/>
    <mergeCell ref="M64:AD64"/>
    <mergeCell ref="M65:AD65"/>
    <mergeCell ref="M66:AD66"/>
    <mergeCell ref="M67:AD67"/>
    <mergeCell ref="M68:AD68"/>
    <mergeCell ref="M69:AD69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64:E64"/>
    <mergeCell ref="C65:E65"/>
    <mergeCell ref="C66:E66"/>
    <mergeCell ref="C67:E67"/>
    <mergeCell ref="C68:E68"/>
    <mergeCell ref="C69:E69"/>
    <mergeCell ref="C70:E70"/>
    <mergeCell ref="C71:E71"/>
    <mergeCell ref="C72:E72"/>
    <mergeCell ref="F7:I7"/>
    <mergeCell ref="F6:I6"/>
    <mergeCell ref="AB15:AK15"/>
    <mergeCell ref="U16:AJ16"/>
    <mergeCell ref="U17:AJ17"/>
    <mergeCell ref="AG9:AK11"/>
    <mergeCell ref="F10:AF10"/>
    <mergeCell ref="F11:R11"/>
    <mergeCell ref="S11:W11"/>
    <mergeCell ref="AB12:AF12"/>
    <mergeCell ref="T14:AA14"/>
    <mergeCell ref="AB14:AK14"/>
    <mergeCell ref="C14:R18"/>
    <mergeCell ref="J6:P6"/>
    <mergeCell ref="B7:E7"/>
    <mergeCell ref="B6:E6"/>
    <mergeCell ref="Q6:Y6"/>
    <mergeCell ref="Z6:AG6"/>
    <mergeCell ref="C22:R22"/>
    <mergeCell ref="U22:AJ22"/>
    <mergeCell ref="C23:R23"/>
    <mergeCell ref="U23:AJ23"/>
    <mergeCell ref="C24:R24"/>
    <mergeCell ref="T24:AK24"/>
    <mergeCell ref="U18:AJ18"/>
    <mergeCell ref="T19:Y19"/>
    <mergeCell ref="AD19:AJ19"/>
    <mergeCell ref="T20:AK20"/>
    <mergeCell ref="C21:R21"/>
    <mergeCell ref="U21:AJ21"/>
    <mergeCell ref="C29:R29"/>
    <mergeCell ref="U29:AJ29"/>
    <mergeCell ref="C30:R30"/>
    <mergeCell ref="U30:AJ30"/>
    <mergeCell ref="C31:R31"/>
    <mergeCell ref="U31:AJ31"/>
    <mergeCell ref="C25:R25"/>
    <mergeCell ref="U25:AJ25"/>
    <mergeCell ref="T26:AK26"/>
    <mergeCell ref="C27:R27"/>
    <mergeCell ref="U27:AJ27"/>
    <mergeCell ref="C28:R28"/>
    <mergeCell ref="U28:AJ28"/>
    <mergeCell ref="C35:I35"/>
    <mergeCell ref="J35:S35"/>
    <mergeCell ref="C37:I37"/>
    <mergeCell ref="J37:S37"/>
    <mergeCell ref="T37:Y37"/>
    <mergeCell ref="Z37:AJ37"/>
    <mergeCell ref="U32:AJ32"/>
    <mergeCell ref="C33:R33"/>
    <mergeCell ref="U34:AJ34"/>
    <mergeCell ref="U36:AJ36"/>
    <mergeCell ref="U35:AJ35"/>
    <mergeCell ref="C41:E41"/>
    <mergeCell ref="M41:AD41"/>
    <mergeCell ref="AE41:AG41"/>
    <mergeCell ref="AI41:AJ41"/>
    <mergeCell ref="C42:E42"/>
    <mergeCell ref="M42:AD42"/>
    <mergeCell ref="AE42:AG42"/>
    <mergeCell ref="AI42:AJ42"/>
    <mergeCell ref="B38:AK38"/>
    <mergeCell ref="AA39:AB39"/>
    <mergeCell ref="AC39:AF39"/>
    <mergeCell ref="B40:F40"/>
    <mergeCell ref="G40:K40"/>
    <mergeCell ref="L40:AD40"/>
    <mergeCell ref="AE40:AH40"/>
    <mergeCell ref="AI40:AK40"/>
    <mergeCell ref="C45:E45"/>
    <mergeCell ref="M45:AD45"/>
    <mergeCell ref="AE45:AG45"/>
    <mergeCell ref="AI45:AJ45"/>
    <mergeCell ref="C46:E46"/>
    <mergeCell ref="M46:AD46"/>
    <mergeCell ref="AE46:AG46"/>
    <mergeCell ref="AI46:AJ46"/>
    <mergeCell ref="C43:E43"/>
    <mergeCell ref="M43:AD43"/>
    <mergeCell ref="AE43:AG43"/>
    <mergeCell ref="AI43:AJ43"/>
    <mergeCell ref="C44:E44"/>
    <mergeCell ref="M44:AD44"/>
    <mergeCell ref="AE44:AG44"/>
    <mergeCell ref="AI44:AJ44"/>
    <mergeCell ref="C63:E63"/>
    <mergeCell ref="AI49:AJ49"/>
    <mergeCell ref="C50:E50"/>
    <mergeCell ref="M50:AD50"/>
    <mergeCell ref="AE50:AG50"/>
    <mergeCell ref="AI50:AJ50"/>
    <mergeCell ref="C47:E47"/>
    <mergeCell ref="M47:AD47"/>
    <mergeCell ref="AE47:AG47"/>
    <mergeCell ref="AI47:AJ47"/>
    <mergeCell ref="C48:E48"/>
    <mergeCell ref="M48:AD48"/>
    <mergeCell ref="AE48:AG48"/>
    <mergeCell ref="AI48:AJ48"/>
    <mergeCell ref="M51:AD51"/>
    <mergeCell ref="M52:AD52"/>
    <mergeCell ref="M53:AD53"/>
    <mergeCell ref="M54:AD54"/>
    <mergeCell ref="M55:AD55"/>
    <mergeCell ref="M56:AD56"/>
    <mergeCell ref="M57:AD57"/>
    <mergeCell ref="M58:AD58"/>
    <mergeCell ref="M59:AD59"/>
    <mergeCell ref="M60:AD60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96:E96"/>
    <mergeCell ref="C97:E97"/>
    <mergeCell ref="C95:E95"/>
    <mergeCell ref="B1:E1"/>
    <mergeCell ref="AI94:AJ94"/>
    <mergeCell ref="AE92:AG92"/>
    <mergeCell ref="AI92:AJ92"/>
    <mergeCell ref="G96:K96"/>
    <mergeCell ref="AE93:AG93"/>
    <mergeCell ref="AI93:AJ93"/>
    <mergeCell ref="G92:K92"/>
    <mergeCell ref="C91:E91"/>
    <mergeCell ref="M91:AD91"/>
    <mergeCell ref="AE91:AG91"/>
    <mergeCell ref="T95:AC95"/>
    <mergeCell ref="T96:AK96"/>
    <mergeCell ref="M94:AD94"/>
    <mergeCell ref="AE94:AG94"/>
    <mergeCell ref="C49:E49"/>
    <mergeCell ref="M49:AD49"/>
    <mergeCell ref="AE49:AG49"/>
    <mergeCell ref="C51:E51"/>
    <mergeCell ref="C52:E52"/>
    <mergeCell ref="C53:E53"/>
  </mergeCells>
  <conditionalFormatting sqref="T14 J5 Q5 U18 U21 U22 U23 C27 C28 C29 C30 C31 U27 U28 U29 U30 U31 C33 J37 U35 U36">
    <cfRule type="containsBlanks" dxfId="0" priority="1">
      <formula>LEN(TRIM(C5))=0</formula>
    </cfRule>
  </conditionalFormatting>
  <dataValidations count="1">
    <dataValidation allowBlank="1" sqref="T96:AK96 T95:AC95 U34"/>
  </dataValidations>
  <printOptions horizontalCentered="1"/>
  <pageMargins left="0.45" right="0.45" top="0.5" bottom="0.5" header="0.3" footer="0.3"/>
  <pageSetup scale="42" fitToHeight="0" orientation="portrait" blackAndWhite="1" horizontalDpi="0" verticalDpi="0" r:id="rId1"/>
  <drawing r:id="rId2"/>
  <legacyDrawing r:id="rId3"/>
  <controls>
    <mc:AlternateContent xmlns:mc="http://schemas.openxmlformats.org/markup-compatibility/2006">
      <mc:Choice Requires="x14">
        <control shapeId="2071" r:id="rId4" name="ComboBox23">
          <controlPr locked="0" defaultSize="0" print="0" autoLine="0" autoPict="0" linkedCell="T95" listFillRange="AM9:AM11" r:id="rId5">
            <anchor moveWithCells="1" sizeWithCells="1">
              <from>
                <xdr:col>9</xdr:col>
                <xdr:colOff>9525</xdr:colOff>
                <xdr:row>5</xdr:row>
                <xdr:rowOff>266700</xdr:rowOff>
              </from>
              <to>
                <xdr:col>16</xdr:col>
                <xdr:colOff>19050</xdr:colOff>
                <xdr:row>6</xdr:row>
                <xdr:rowOff>266700</xdr:rowOff>
              </to>
            </anchor>
          </controlPr>
        </control>
      </mc:Choice>
      <mc:Fallback>
        <control shapeId="2071" r:id="rId4" name="ComboBox23"/>
      </mc:Fallback>
    </mc:AlternateContent>
    <mc:AlternateContent xmlns:mc="http://schemas.openxmlformats.org/markup-compatibility/2006">
      <mc:Choice Requires="x14">
        <control shapeId="2072" r:id="rId6" name="ComboBox24">
          <controlPr locked="0" defaultSize="0" print="0" autoLine="0" linkedCell="T96" listFillRange="AO9:AO11" r:id="rId7">
            <anchor moveWithCells="1" sizeWithCells="1">
              <from>
                <xdr:col>16</xdr:col>
                <xdr:colOff>19050</xdr:colOff>
                <xdr:row>5</xdr:row>
                <xdr:rowOff>266700</xdr:rowOff>
              </from>
              <to>
                <xdr:col>25</xdr:col>
                <xdr:colOff>19050</xdr:colOff>
                <xdr:row>7</xdr:row>
                <xdr:rowOff>0</xdr:rowOff>
              </to>
            </anchor>
          </controlPr>
        </control>
      </mc:Choice>
      <mc:Fallback>
        <control shapeId="2072" r:id="rId6" name="ComboBox2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106</vt:i4>
      </vt:variant>
    </vt:vector>
  </HeadingPairs>
  <TitlesOfParts>
    <vt:vector size="108" baseType="lpstr">
      <vt:lpstr>SE Manifest</vt:lpstr>
      <vt:lpstr>Master BL Instructions</vt:lpstr>
      <vt:lpstr>Container_Type</vt:lpstr>
      <vt:lpstr>Eight</vt:lpstr>
      <vt:lpstr>Eight_Hide</vt:lpstr>
      <vt:lpstr>Eighteen</vt:lpstr>
      <vt:lpstr>Eighteen_Hide</vt:lpstr>
      <vt:lpstr>Eleven</vt:lpstr>
      <vt:lpstr>Eleven_Hide</vt:lpstr>
      <vt:lpstr>Fifteen</vt:lpstr>
      <vt:lpstr>Fifteen_Hide</vt:lpstr>
      <vt:lpstr>Fifty</vt:lpstr>
      <vt:lpstr>Five</vt:lpstr>
      <vt:lpstr>Five_Hide</vt:lpstr>
      <vt:lpstr>Forty</vt:lpstr>
      <vt:lpstr>Forty_Eight</vt:lpstr>
      <vt:lpstr>Forty_Eight_Hide</vt:lpstr>
      <vt:lpstr>Forty_Five</vt:lpstr>
      <vt:lpstr>Forty_Five_Hide</vt:lpstr>
      <vt:lpstr>Forty_Four</vt:lpstr>
      <vt:lpstr>Forty_Four_Hide</vt:lpstr>
      <vt:lpstr>Forty_Hide</vt:lpstr>
      <vt:lpstr>Forty_Nine</vt:lpstr>
      <vt:lpstr>Forty_Nine_Hide</vt:lpstr>
      <vt:lpstr>Forty_One</vt:lpstr>
      <vt:lpstr>Forty_One_Hide</vt:lpstr>
      <vt:lpstr>Forty_Seven</vt:lpstr>
      <vt:lpstr>Forty_Seven_Hide</vt:lpstr>
      <vt:lpstr>Forty_Six</vt:lpstr>
      <vt:lpstr>Forty_Six_Hide</vt:lpstr>
      <vt:lpstr>Forty_Three</vt:lpstr>
      <vt:lpstr>Forty_Three_Hide</vt:lpstr>
      <vt:lpstr>Forty_Two</vt:lpstr>
      <vt:lpstr>Forty_Two_Hide</vt:lpstr>
      <vt:lpstr>Four</vt:lpstr>
      <vt:lpstr>Four_Hide</vt:lpstr>
      <vt:lpstr>Fourteen</vt:lpstr>
      <vt:lpstr>Fourteen_Hide</vt:lpstr>
      <vt:lpstr>Nine</vt:lpstr>
      <vt:lpstr>Nine_Hide</vt:lpstr>
      <vt:lpstr>Nineteen</vt:lpstr>
      <vt:lpstr>Nineteen_Hide</vt:lpstr>
      <vt:lpstr>Office_Address</vt:lpstr>
      <vt:lpstr>Office_Location</vt:lpstr>
      <vt:lpstr>One</vt:lpstr>
      <vt:lpstr>One_Hide</vt:lpstr>
      <vt:lpstr>'Master BL Instructions'!Print_Area</vt:lpstr>
      <vt:lpstr>'SE Manifest'!Print_Area</vt:lpstr>
      <vt:lpstr>'Master BL Instructions'!Print_Titles</vt:lpstr>
      <vt:lpstr>'SE Manifest'!Print_Titles</vt:lpstr>
      <vt:lpstr>Seven</vt:lpstr>
      <vt:lpstr>Seven_Hide</vt:lpstr>
      <vt:lpstr>Seventeen</vt:lpstr>
      <vt:lpstr>Seventeen_Hide</vt:lpstr>
      <vt:lpstr>Six</vt:lpstr>
      <vt:lpstr>Six_Hide</vt:lpstr>
      <vt:lpstr>Sixteen</vt:lpstr>
      <vt:lpstr>Sixteen_Hide</vt:lpstr>
      <vt:lpstr>Ten</vt:lpstr>
      <vt:lpstr>Ten_Hide</vt:lpstr>
      <vt:lpstr>Thirteen</vt:lpstr>
      <vt:lpstr>Thirteen_Hide</vt:lpstr>
      <vt:lpstr>Thirty</vt:lpstr>
      <vt:lpstr>Thirty_Eight</vt:lpstr>
      <vt:lpstr>Thirty_Eight_Hide</vt:lpstr>
      <vt:lpstr>Thirty_Five</vt:lpstr>
      <vt:lpstr>Thirty_Five_Hide</vt:lpstr>
      <vt:lpstr>Thirty_Four</vt:lpstr>
      <vt:lpstr>Thirty_Four_Hide</vt:lpstr>
      <vt:lpstr>Thirty_Hide</vt:lpstr>
      <vt:lpstr>Thirty_Nine</vt:lpstr>
      <vt:lpstr>Thirty_Nine_Hide</vt:lpstr>
      <vt:lpstr>Thirty_One</vt:lpstr>
      <vt:lpstr>Thirty_One_Hide</vt:lpstr>
      <vt:lpstr>Thirty_Seven</vt:lpstr>
      <vt:lpstr>Thirty_Seven_Hide</vt:lpstr>
      <vt:lpstr>Thirty_Six</vt:lpstr>
      <vt:lpstr>Thirty_Six_Hide</vt:lpstr>
      <vt:lpstr>Thirty_Three</vt:lpstr>
      <vt:lpstr>Thirty_Three_Hide</vt:lpstr>
      <vt:lpstr>Thirty_Two</vt:lpstr>
      <vt:lpstr>Thirty_Two_Hide</vt:lpstr>
      <vt:lpstr>Three</vt:lpstr>
      <vt:lpstr>Three_Hide</vt:lpstr>
      <vt:lpstr>Twelve</vt:lpstr>
      <vt:lpstr>Twelve_Hide</vt:lpstr>
      <vt:lpstr>Twenty</vt:lpstr>
      <vt:lpstr>Twenty_Eight</vt:lpstr>
      <vt:lpstr>Twenty_Eight_Hide</vt:lpstr>
      <vt:lpstr>Twenty_Five</vt:lpstr>
      <vt:lpstr>Twenty_Five_Hide</vt:lpstr>
      <vt:lpstr>Twenty_Four</vt:lpstr>
      <vt:lpstr>Twenty_Four_Hide</vt:lpstr>
      <vt:lpstr>Twenty_Hide</vt:lpstr>
      <vt:lpstr>Twenty_Nine</vt:lpstr>
      <vt:lpstr>Twenty_Nine_Hide</vt:lpstr>
      <vt:lpstr>Twenty_One</vt:lpstr>
      <vt:lpstr>Twenty_One_Hide</vt:lpstr>
      <vt:lpstr>Twenty_Seven</vt:lpstr>
      <vt:lpstr>Twenty_Seven_Hide</vt:lpstr>
      <vt:lpstr>Twenty_Six</vt:lpstr>
      <vt:lpstr>Twenty_Six_Hide</vt:lpstr>
      <vt:lpstr>Twenty_Three</vt:lpstr>
      <vt:lpstr>Twenty_Three_Hide</vt:lpstr>
      <vt:lpstr>Twenty_Two</vt:lpstr>
      <vt:lpstr>Twenty_Two_Hide</vt:lpstr>
      <vt:lpstr>Two</vt:lpstr>
      <vt:lpstr>Two_Hide</vt:lpstr>
    </vt:vector>
  </TitlesOfParts>
  <Company>vanguard Logistics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Krist</dc:creator>
  <cp:lastModifiedBy>Ryan Krist</cp:lastModifiedBy>
  <cp:lastPrinted>2021-03-31T01:42:39Z</cp:lastPrinted>
  <dcterms:created xsi:type="dcterms:W3CDTF">2021-02-25T17:09:15Z</dcterms:created>
  <dcterms:modified xsi:type="dcterms:W3CDTF">2021-04-13T18:30:50Z</dcterms:modified>
</cp:coreProperties>
</file>