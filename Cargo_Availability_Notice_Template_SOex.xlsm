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rkrist\Desktop\BCP\Final\"/>
    </mc:Choice>
  </mc:AlternateContent>
  <bookViews>
    <workbookView xWindow="0" yWindow="0" windowWidth="24000" windowHeight="8700"/>
  </bookViews>
  <sheets>
    <sheet name="Cargo Availability Notice" sheetId="2" r:id="rId1"/>
  </sheets>
  <functionGroups builtInGroupCount="18"/>
  <externalReferences>
    <externalReference r:id="rId2"/>
  </externalReferences>
  <definedNames>
    <definedName name="Office_Address">[1]!Office_Addr[Office_Addr]</definedName>
    <definedName name="Office_Location">[1]!Office_Loc['[SELECT LOCATION']]</definedName>
    <definedName name="_xlnm.Print_Area" localSheetId="0">'Cargo Availability Notice'!$B$8:$AI$72</definedName>
    <definedName name="_xlnm.Print_Titles" localSheetId="0">'Cargo Availability Notice'!$8:$46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35" i="2" l="1"/>
  <c r="Y34" i="2"/>
  <c r="Y37" i="2"/>
  <c r="T35" i="2"/>
  <c r="S34" i="2"/>
  <c r="T37" i="2"/>
  <c r="B71" i="2"/>
  <c r="Y39" i="2" l="1"/>
  <c r="Y38" i="2"/>
  <c r="AH53" i="2"/>
  <c r="AF53" i="2"/>
  <c r="T39" i="2" l="1"/>
  <c r="T38" i="2"/>
  <c r="B14" i="2" l="1"/>
  <c r="W32" i="2"/>
  <c r="W1" i="2"/>
  <c r="B8" i="2" l="1"/>
</calcChain>
</file>

<file path=xl/sharedStrings.xml><?xml version="1.0" encoding="utf-8"?>
<sst xmlns="http://schemas.openxmlformats.org/spreadsheetml/2006/main" count="535" uniqueCount="529">
  <si>
    <t>M3</t>
  </si>
  <si>
    <t>CF</t>
  </si>
  <si>
    <t>K</t>
  </si>
  <si>
    <t>#</t>
  </si>
  <si>
    <t>PREPAID</t>
  </si>
  <si>
    <t>COLLECT</t>
  </si>
  <si>
    <t>20'</t>
  </si>
  <si>
    <t>40'</t>
  </si>
  <si>
    <t>45'</t>
  </si>
  <si>
    <t>48'</t>
  </si>
  <si>
    <t>O (ZERO) ORIGINAL</t>
  </si>
  <si>
    <t>3 (THREE) ORIGINAL</t>
  </si>
  <si>
    <t>HBL Type:</t>
  </si>
  <si>
    <t>Bill Of Lading</t>
  </si>
  <si>
    <t>PROOF COPY</t>
  </si>
  <si>
    <t>[SELECT LOCATION]</t>
  </si>
  <si>
    <t>40' HC CONTAINER</t>
  </si>
  <si>
    <t>Office_Addr</t>
  </si>
  <si>
    <t>AE-ABU DHABI</t>
  </si>
  <si>
    <t>20' FLAT RACK</t>
  </si>
  <si>
    <t>AE-DUBAI</t>
  </si>
  <si>
    <t>20' NOR</t>
  </si>
  <si>
    <t>AO-LUANDA</t>
  </si>
  <si>
    <t>20' OT CONTAINER</t>
  </si>
  <si>
    <t>AR-BUENOS AIRES</t>
  </si>
  <si>
    <t>20' REEFER</t>
  </si>
  <si>
    <t>AS-PAGO PAGO</t>
  </si>
  <si>
    <t>20' ST CONTAINER</t>
  </si>
  <si>
    <t>AT-VIENNA</t>
  </si>
  <si>
    <t>40' FLAT RACK</t>
  </si>
  <si>
    <t>AU-ADELAIDE</t>
  </si>
  <si>
    <t>AU-BRISBANE</t>
  </si>
  <si>
    <t>40' NOR</t>
  </si>
  <si>
    <t>AU-FREMANTLE</t>
  </si>
  <si>
    <t>40' OT CONTAINER</t>
  </si>
  <si>
    <t>AU-MELBOURNE</t>
  </si>
  <si>
    <t>40' REEFER</t>
  </si>
  <si>
    <t>AU-SYDNEY</t>
  </si>
  <si>
    <t>40' ST CONTAINER</t>
  </si>
  <si>
    <t>BB-BRIDGETOWN</t>
  </si>
  <si>
    <t>45' CONTAINER</t>
  </si>
  <si>
    <t>BD-CHITTAGONG</t>
  </si>
  <si>
    <t>48' FLAT BAD</t>
  </si>
  <si>
    <t>BD-DHAKA</t>
  </si>
  <si>
    <t>48' STEP DECK</t>
  </si>
  <si>
    <t>BE-ANTWERP</t>
  </si>
  <si>
    <t>53' TRAILER</t>
  </si>
  <si>
    <t>BF-OUAGADOUGOU</t>
  </si>
  <si>
    <t>BG-SOFIA</t>
  </si>
  <si>
    <t>BG-VARNA</t>
  </si>
  <si>
    <t>BH-BAHRAIN</t>
  </si>
  <si>
    <t>BJ-COTONOU</t>
  </si>
  <si>
    <t>BN-BANDAR SERI BEGAWAN</t>
  </si>
  <si>
    <t>BR-CAMPINAS</t>
  </si>
  <si>
    <t>BR-PORTO ALEGRE</t>
  </si>
  <si>
    <t>BR-RIO DE JANEIRO</t>
  </si>
  <si>
    <t>BR-RIO GRANDE</t>
  </si>
  <si>
    <t>BR-SANTOS</t>
  </si>
  <si>
    <t>BR-SAO PAULO</t>
  </si>
  <si>
    <t>CA-MONTREAL</t>
  </si>
  <si>
    <t>CA-TORONTO</t>
  </si>
  <si>
    <t>CA-VANCOUVER</t>
  </si>
  <si>
    <t>CH-GENEVA</t>
  </si>
  <si>
    <t>CI-ABIDJAN</t>
  </si>
  <si>
    <t>CK-RAROTONGA</t>
  </si>
  <si>
    <t>CL-SANTIAGO</t>
  </si>
  <si>
    <t>CM-DOUALA</t>
  </si>
  <si>
    <t>CN-BEIJING</t>
  </si>
  <si>
    <t>CN-CHONGQING</t>
  </si>
  <si>
    <t>CN-DALIAN</t>
  </si>
  <si>
    <t>CN-FUZHOU</t>
  </si>
  <si>
    <t>CN-GUANGZHOU</t>
  </si>
  <si>
    <t>CN-HANGZHOU</t>
  </si>
  <si>
    <t>CN-NANJING</t>
  </si>
  <si>
    <t>CN-NINGBO</t>
  </si>
  <si>
    <t>CN-QINGDAO</t>
  </si>
  <si>
    <t>CN-SHANGHAI</t>
  </si>
  <si>
    <t>CN-SHENZHEN</t>
  </si>
  <si>
    <t>CN-TIANJIN</t>
  </si>
  <si>
    <t>CN-WUHAN</t>
  </si>
  <si>
    <t>CN-XIAMEN</t>
  </si>
  <si>
    <t>CN-ZHONGSHAN</t>
  </si>
  <si>
    <t>CN-ZHUHAI</t>
  </si>
  <si>
    <t>CO-BOGOTA</t>
  </si>
  <si>
    <t>CO-BUENAVENTURA</t>
  </si>
  <si>
    <t>CO-CALI</t>
  </si>
  <si>
    <t>CO-CARTAGENA</t>
  </si>
  <si>
    <t>CO-MEDILLIN</t>
  </si>
  <si>
    <t>CR-SAN JOSE</t>
  </si>
  <si>
    <t>CY-LIMASSOL</t>
  </si>
  <si>
    <t>CZ-PRAGUE</t>
  </si>
  <si>
    <t>DE-HAMBURG</t>
  </si>
  <si>
    <t>DJ-DJIBOUTI</t>
  </si>
  <si>
    <t>DK-COPENHAGEN</t>
  </si>
  <si>
    <t>DZ-ALGIERS</t>
  </si>
  <si>
    <t>EC-GUAYAQUIL</t>
  </si>
  <si>
    <t>EG-ALEXANDRIA</t>
  </si>
  <si>
    <t>EG-CAIRO</t>
  </si>
  <si>
    <t>ES-BARCELONA</t>
  </si>
  <si>
    <t>ES-BILBAO</t>
  </si>
  <si>
    <t>ET-ADDIS ABABA</t>
  </si>
  <si>
    <t>FI-HELSINKI</t>
  </si>
  <si>
    <t>FJ-LAUTOKA</t>
  </si>
  <si>
    <t>FJ-SUVA</t>
  </si>
  <si>
    <t>FR-LE HAVRE</t>
  </si>
  <si>
    <t>FR-LYON</t>
  </si>
  <si>
    <t>GB-BIRMINGHAM</t>
  </si>
  <si>
    <t>GB-LONDON</t>
  </si>
  <si>
    <t>GB-MANCHESTER</t>
  </si>
  <si>
    <t>GH-ACCRA</t>
  </si>
  <si>
    <t>GN-CONKARY</t>
  </si>
  <si>
    <t>GR-ATHENS</t>
  </si>
  <si>
    <t>GT-GUATEMALA CITY</t>
  </si>
  <si>
    <t>GY-GEORGETOWN</t>
  </si>
  <si>
    <t>HK-HONG KONG</t>
  </si>
  <si>
    <t>HN-SAN PEDRO SULA</t>
  </si>
  <si>
    <t>HU-BUDAPEST</t>
  </si>
  <si>
    <t>ID-BATAM</t>
  </si>
  <si>
    <t>ID-BELAWAN</t>
  </si>
  <si>
    <t>ID-JAKARTA</t>
  </si>
  <si>
    <t>ID-SEMARANG</t>
  </si>
  <si>
    <t>ID-SURABAYA</t>
  </si>
  <si>
    <t>IE-DUBLIN</t>
  </si>
  <si>
    <t>IL-LOD</t>
  </si>
  <si>
    <t>IL-TEL AVIV</t>
  </si>
  <si>
    <t>IN-AHMEDABAD</t>
  </si>
  <si>
    <t>IN-BANGALORE</t>
  </si>
  <si>
    <t>IN-BARODA</t>
  </si>
  <si>
    <t>IN-CHENNAI</t>
  </si>
  <si>
    <t>IN-COIMBATORE</t>
  </si>
  <si>
    <t>IN-HYDERABAD</t>
  </si>
  <si>
    <t>IN-JAIPUR</t>
  </si>
  <si>
    <t>IN-JALANDHAR</t>
  </si>
  <si>
    <t>IN-KANPUR</t>
  </si>
  <si>
    <t>IN-KOCHI</t>
  </si>
  <si>
    <t>IN-KOLKATA</t>
  </si>
  <si>
    <t>IN-LUDHIANA</t>
  </si>
  <si>
    <t>IN-MUMBAI</t>
  </si>
  <si>
    <t>IN-NEW DELHI</t>
  </si>
  <si>
    <t>IN-PUNE</t>
  </si>
  <si>
    <t>IN-TIRUPUR</t>
  </si>
  <si>
    <t>IN-TUTICORIN</t>
  </si>
  <si>
    <t>IT-MILAN</t>
  </si>
  <si>
    <t>JM-KINGSTON</t>
  </si>
  <si>
    <t>JO-AMMAN</t>
  </si>
  <si>
    <t>JP-OSAKA</t>
  </si>
  <si>
    <t>JP-TOKYO</t>
  </si>
  <si>
    <t>KE-MOMBASA</t>
  </si>
  <si>
    <t>KE-NAIROBI</t>
  </si>
  <si>
    <t>KH-PHNOM PENH</t>
  </si>
  <si>
    <t>KI-TARAWA</t>
  </si>
  <si>
    <t>KR-SEOUL</t>
  </si>
  <si>
    <t>KW-KUWAIT CITY</t>
  </si>
  <si>
    <t>LB-BEIRUT</t>
  </si>
  <si>
    <t>LK-COLOMBO</t>
  </si>
  <si>
    <t>LT-KLAIPEDA</t>
  </si>
  <si>
    <t>MA-CASABLANCA</t>
  </si>
  <si>
    <t>MG-TOAMASINA</t>
  </si>
  <si>
    <t>MM-YANGON</t>
  </si>
  <si>
    <t>MT-VALETTA</t>
  </si>
  <si>
    <t>MU-PORT LOUIS</t>
  </si>
  <si>
    <t>MX-GUADALAJARA</t>
  </si>
  <si>
    <t>MX-MANZANILLO</t>
  </si>
  <si>
    <t>MX-MEXICO CITY</t>
  </si>
  <si>
    <t>MX-MONTERREY</t>
  </si>
  <si>
    <t>MX-VERACRUZ</t>
  </si>
  <si>
    <t>MY-BATU PAHAT</t>
  </si>
  <si>
    <t>MY-JOHOR BAHRU</t>
  </si>
  <si>
    <t>MY-PENANG</t>
  </si>
  <si>
    <t>MY-PORT KLANG</t>
  </si>
  <si>
    <t>MZ-MAPUTO</t>
  </si>
  <si>
    <t>NC-NOUMEA</t>
  </si>
  <si>
    <t>NG-LAGOS</t>
  </si>
  <si>
    <t>NI-MANAGUA</t>
  </si>
  <si>
    <t>NL-ROTTERDAM</t>
  </si>
  <si>
    <t>NO-OSLO</t>
  </si>
  <si>
    <t>NP-KATHMANDU</t>
  </si>
  <si>
    <t>NZ-AUCKLAND</t>
  </si>
  <si>
    <t>NZ-CHRISTCHURCH</t>
  </si>
  <si>
    <t>NZ-WELLINGTON</t>
  </si>
  <si>
    <t>OM-SOHAR</t>
  </si>
  <si>
    <t>PA-COLON</t>
  </si>
  <si>
    <t>PA-PANAMA CITY</t>
  </si>
  <si>
    <t>PE-LIMA</t>
  </si>
  <si>
    <t>PF-PAPEETE</t>
  </si>
  <si>
    <t>PG-ALOTAU</t>
  </si>
  <si>
    <t>PG-LAE</t>
  </si>
  <si>
    <t>PG-LIHIR ISLAND</t>
  </si>
  <si>
    <t>PG-MADANG</t>
  </si>
  <si>
    <t>PG-PORT MORESBY</t>
  </si>
  <si>
    <t>PG-RABAUL</t>
  </si>
  <si>
    <t>PH-CEBU</t>
  </si>
  <si>
    <t>PH-MANILA</t>
  </si>
  <si>
    <t>PK-KARACHI</t>
  </si>
  <si>
    <t>PK-LAHORE</t>
  </si>
  <si>
    <t>PL-GDYNIA</t>
  </si>
  <si>
    <t>PT-LISBON</t>
  </si>
  <si>
    <t>PT-PORTO</t>
  </si>
  <si>
    <t>PY-ASUNCION</t>
  </si>
  <si>
    <t>QA-DOHA</t>
  </si>
  <si>
    <t>RE-POINTE DES GALETS</t>
  </si>
  <si>
    <t>RO-BUCHAREST</t>
  </si>
  <si>
    <t>RU-ST. PETERSBURG</t>
  </si>
  <si>
    <t>SA-DAMMAM</t>
  </si>
  <si>
    <t>SA-JEDDAH</t>
  </si>
  <si>
    <t>SA-RIYADH</t>
  </si>
  <si>
    <t>SB-HONIARA</t>
  </si>
  <si>
    <t>SD-PORT SUDAN</t>
  </si>
  <si>
    <t>SE-GOTHENBURG</t>
  </si>
  <si>
    <t>SG-SINGAPORE</t>
  </si>
  <si>
    <t>SI-KOPER</t>
  </si>
  <si>
    <t>SK-BRATISLAVA</t>
  </si>
  <si>
    <t>SL-FREETOWN</t>
  </si>
  <si>
    <t>SN-DAKAR</t>
  </si>
  <si>
    <t>SV-SAN SALVADOR</t>
  </si>
  <si>
    <t>TG-LOME</t>
  </si>
  <si>
    <t>TH-BANGKOK</t>
  </si>
  <si>
    <t>TN-TUNIS</t>
  </si>
  <si>
    <t>TO-NUKU'ALOFA</t>
  </si>
  <si>
    <t>TR-ISTANBUL</t>
  </si>
  <si>
    <t>TR-IZMIR</t>
  </si>
  <si>
    <t>TT-PORT OF SPAIN</t>
  </si>
  <si>
    <t>TW-KAOHSIUNG</t>
  </si>
  <si>
    <t>TW-TAICHUNG CITY</t>
  </si>
  <si>
    <t>TW-TAIPEI</t>
  </si>
  <si>
    <t>TZ-DAR ES SALAAM</t>
  </si>
  <si>
    <t>UG-KAMPALA</t>
  </si>
  <si>
    <t>US-ATLANTA</t>
  </si>
  <si>
    <t>US-BALTIMORE</t>
  </si>
  <si>
    <t>US-CARTERET</t>
  </si>
  <si>
    <t>US-CHICAGO</t>
  </si>
  <si>
    <t>US-CINCINNATI</t>
  </si>
  <si>
    <t>US-DETROIT</t>
  </si>
  <si>
    <t>US-HOUSTON</t>
  </si>
  <si>
    <t>US-LONG BEACH</t>
  </si>
  <si>
    <t>US-LOS ANGELES</t>
  </si>
  <si>
    <t>US-MIAMI</t>
  </si>
  <si>
    <t>US-MINNEAPOLIS</t>
  </si>
  <si>
    <t>US-PHILADELPHIA</t>
  </si>
  <si>
    <t>US-SEATTLE</t>
  </si>
  <si>
    <t>UY-MONTEVIDEO</t>
  </si>
  <si>
    <t>VE-CARACAS</t>
  </si>
  <si>
    <t>VN-DA NANG</t>
  </si>
  <si>
    <t>VN-HANOI</t>
  </si>
  <si>
    <t>VN-HO CHI MINH CITY</t>
  </si>
  <si>
    <t>VU-PORT VILA</t>
  </si>
  <si>
    <t>WS-APIA</t>
  </si>
  <si>
    <t>ZA-CAPE TOWN</t>
  </si>
  <si>
    <t>ZA-DURBAN</t>
  </si>
  <si>
    <t>ZA-JOHANNESBURG</t>
  </si>
  <si>
    <t>ZA-PORT ELIZABETH</t>
  </si>
  <si>
    <t>ZM-LUSAKA</t>
  </si>
  <si>
    <t>SI Operator Email Address:</t>
  </si>
  <si>
    <t>Shipper:</t>
  </si>
  <si>
    <t>File No:</t>
  </si>
  <si>
    <t>Consignee:</t>
  </si>
  <si>
    <t>Load Port:</t>
  </si>
  <si>
    <t>Final Dest:</t>
  </si>
  <si>
    <t>Notify Party:</t>
  </si>
  <si>
    <t>ATA:</t>
  </si>
  <si>
    <t>ETD:</t>
  </si>
  <si>
    <t>Original B/L</t>
  </si>
  <si>
    <t>Express Release</t>
  </si>
  <si>
    <t>Container / Seal:</t>
  </si>
  <si>
    <t>/</t>
  </si>
  <si>
    <t>Item</t>
  </si>
  <si>
    <t>A-1</t>
  </si>
  <si>
    <t>Marks and Nos</t>
  </si>
  <si>
    <t>Qty</t>
  </si>
  <si>
    <t>Type</t>
  </si>
  <si>
    <t>Description</t>
  </si>
  <si>
    <t>IT Involved?:</t>
  </si>
  <si>
    <t>Displayable UOM:</t>
  </si>
  <si>
    <t>BOTH</t>
  </si>
  <si>
    <t>YES</t>
  </si>
  <si>
    <t>NO</t>
  </si>
  <si>
    <t>IT Number:</t>
  </si>
  <si>
    <t>METRIC ONLY</t>
  </si>
  <si>
    <t>IMPERIAL ONLY</t>
  </si>
  <si>
    <t>Comments:</t>
  </si>
  <si>
    <t>Cargo:</t>
  </si>
  <si>
    <t>Notice Date:</t>
  </si>
  <si>
    <t>SS Ocean B/L:</t>
  </si>
  <si>
    <t>Cargo Availability Notice</t>
  </si>
  <si>
    <t>House B/L:</t>
  </si>
  <si>
    <t>Sub House B/L:</t>
  </si>
  <si>
    <t>AMS House B/L:</t>
  </si>
  <si>
    <t>Vessel Voy:</t>
  </si>
  <si>
    <t>Disch Port:</t>
  </si>
  <si>
    <t>ETA:</t>
  </si>
  <si>
    <t>Feeder Vessel/Voy:</t>
  </si>
  <si>
    <t>Feeder Vessel/Voy?:</t>
  </si>
  <si>
    <t>Feeder Connecting At:</t>
  </si>
  <si>
    <t>Important Dates</t>
  </si>
  <si>
    <t>Cargo Available:</t>
  </si>
  <si>
    <t>Storage Starts:</t>
  </si>
  <si>
    <t>Haz Storage Starts:</t>
  </si>
  <si>
    <t>General Order:</t>
  </si>
  <si>
    <t>Out-Turn Qty:</t>
  </si>
  <si>
    <t>Pallet Exchange:</t>
  </si>
  <si>
    <t># of Free Days</t>
  </si>
  <si>
    <t>All business undertaken is subject to the Company's Standard Trading Conditions, which may limit or exclude the Company's liability and
contain indemnities benefiting the Company, copies of which are available upon request.</t>
  </si>
  <si>
    <t>Cargo is now available for pickup at the above location. If outturn comments reflect a discrepancy from manifested quantities, if marks need to be confirmed, or if you have not surrendered one endorsed original bill of lading (if required), and total charges, please do so at this time to avoid delays in cargo release &amp; storage costs. Cargo will be sent to General Order (G.O.) warehouse 15 days after arrival if not customs
cleared. Any additional charges will be the responsibility of the importer/consignee. Truckers may need to call for pickup number or other
information prior to dispatching.</t>
  </si>
  <si>
    <t>To ensure cargo release at time of pick up please confirm pallets for exchange &amp; storage have been accounted for, and that Delivery Order has all pertinent information including: Trucker Name, Pick Up &amp; Delivery Locations, Pickup #, MBL #, HBL #, Container Number, I.T. #, Marks, Piece Count, Weight &amp; Commodity.</t>
  </si>
  <si>
    <t/>
  </si>
  <si>
    <t>SI Operator Full Name:</t>
  </si>
  <si>
    <t>IT Approved At Location:</t>
  </si>
  <si>
    <t>IT Submission Date:</t>
  </si>
  <si>
    <t>Location</t>
  </si>
  <si>
    <t>ABU DHABI Company Name
Address Line One
Address Line Two
Address Line Three
City Name, Country
Postal Code
PH: 234-567-8910
Email: xxx@xxx.com</t>
  </si>
  <si>
    <t>DUBAI Company Name
Address Line One
Address Line Two
Address Line Three
City Name, Country
Postal Code
PH: 234-567-8910
Email: xxx@xxx.com</t>
  </si>
  <si>
    <t>LUANDA Company Name
Address Line One
Address Line Two
Address Line Three
City Name, Country
Postal Code
PH: 234-567-8910
Email: xxx@xxx.com</t>
  </si>
  <si>
    <t>BUENOS AIRES Company Name
Address Line One
Address Line Two
Address Line Three
City Name, Country
Postal Code
PH: 234-567-8910
Email: xxx@xxx.com</t>
  </si>
  <si>
    <t>PAGO PAGO Company Name
Address Line One
Address Line Two
Address Line Three
City Name, Country
Postal Code
PH: 234-567-8910
Email: xxx@xxx.com</t>
  </si>
  <si>
    <t>VIENNA Company Name
Address Line One
Address Line Two
Address Line Three
City Name, Country
Postal Code
PH: 234-567-8910
Email: xxx@xxx.com</t>
  </si>
  <si>
    <t>ADELAIDE Company Name
Address Line One
Address Line Two
Address Line Three
City Name, Country
Postal Code
PH: 234-567-8910
Email: xxx@xxx.com</t>
  </si>
  <si>
    <t>BRISBANE Company Name
Address Line One
Address Line Two
Address Line Three
City Name, Country
Postal Code
PH: 234-567-8910
Email: xxx@xxx.com</t>
  </si>
  <si>
    <t>FREMANTLE Company Name
Address Line One
Address Line Two
Address Line Three
City Name, Country
Postal Code
PH: 234-567-8910
Email: xxx@xxx.com</t>
  </si>
  <si>
    <t>MELBOURNE Company Name
Address Line One
Address Line Two
Address Line Three
City Name, Country
Postal Code
PH: 234-567-8910
Email: xxx@xxx.com</t>
  </si>
  <si>
    <t>SYDNEY Company Name
Address Line One
Address Line Two
Address Line Three
City Name, Country
Postal Code
PH: 234-567-8910
Email: xxx@xxx.com</t>
  </si>
  <si>
    <t>BRIDGETOWN Company Name
Address Line One
Address Line Two
Address Line Three
City Name, Country
Postal Code
PH: 234-567-8910
Email: xxx@xxx.com</t>
  </si>
  <si>
    <t>CHITTAGONG Company Name
Address Line One
Address Line Two
Address Line Three
City Name, Country
Postal Code
PH: 234-567-8910
Email: xxx@xxx.com</t>
  </si>
  <si>
    <t>DHAKA Company Name
Address Line One
Address Line Two
Address Line Three
City Name, Country
Postal Code
PH: 234-567-8910
Email: xxx@xxx.com</t>
  </si>
  <si>
    <t>ANTWERP Company Name
Address Line One
Address Line Two
Address Line Three
City Name, Country
Postal Code
PH: 234-567-8910
Email: xxx@xxx.com</t>
  </si>
  <si>
    <t>OUAGADOUGOU Company Name
Address Line One
Address Line Two
Address Line Three
City Name, Country
Postal Code
PH: 234-567-8910
Email: xxx@xxx.com</t>
  </si>
  <si>
    <t>SOFIA Company Name
Address Line One
Address Line Two
Address Line Three
City Name, Country
Postal Code
PH: 234-567-8910
Email: xxx@xxx.com</t>
  </si>
  <si>
    <t>VARNA Company Name
Address Line One
Address Line Two
Address Line Three
City Name, Country
Postal Code
PH: 234-567-8910
Email: xxx@xxx.com</t>
  </si>
  <si>
    <t>BAHRAIN Company Name
Address Line One
Address Line Two
Address Line Three
City Name, Country
Postal Code
PH: 234-567-8910
Email: xxx@xxx.com</t>
  </si>
  <si>
    <t>COTONOU Company Name
Address Line One
Address Line Two
Address Line Three
City Name, Country
Postal Code
PH: 234-567-8910
Email: xxx@xxx.com</t>
  </si>
  <si>
    <t>BANDAR SERI BEGAWAN Company Name
Address Line One
Address Line Two
Address Line Three
City Name, Country
Postal Code
PH: 234-567-8910
Email: xxx@xxx.com</t>
  </si>
  <si>
    <t>CAMPINAS Company Name
Address Line One
Address Line Two
Address Line Three
City Name, Country
Postal Code
PH: 234-567-8910
Email: xxx@xxx.com</t>
  </si>
  <si>
    <t>PORTO ALEGRE Company Name
Address Line One
Address Line Two
Address Line Three
City Name, Country
Postal Code
PH: 234-567-8910
Email: xxx@xxx.com</t>
  </si>
  <si>
    <t>RIO DE JANEIRO Company Name
Address Line One
Address Line Two
Address Line Three
City Name, Country
Postal Code
PH: 234-567-8910
Email: xxx@xxx.com</t>
  </si>
  <si>
    <t>RIO GRANDE Company Name
Address Line One
Address Line Two
Address Line Three
City Name, Country
Postal Code
PH: 234-567-8910
Email: xxx@xxx.com</t>
  </si>
  <si>
    <t>SANTOS Company Name
Address Line One
Address Line Two
Address Line Three
City Name, Country
Postal Code
PH: 234-567-8910
Email: xxx@xxx.com</t>
  </si>
  <si>
    <t>SAO PAULO Company Name
Address Line One
Address Line Two
Address Line Three
City Name, Country
Postal Code
PH: 234-567-8910
Email: xxx@xxx.com</t>
  </si>
  <si>
    <t>MONTREAL Company Name
Address Line One
Address Line Two
Address Line Three
City Name, Country
Postal Code
PH: 234-567-8910
Email: xxx@xxx.com</t>
  </si>
  <si>
    <t>TORONTO Company Name
Address Line One
Address Line Two
Address Line Three
City Name, Country
Postal Code
PH: 234-567-8910
Email: xxx@xxx.com</t>
  </si>
  <si>
    <t>VANCOUVER Company Name
Address Line One
Address Line Two
Address Line Three
City Name, Country
Postal Code
PH: 234-567-8910
Email: xxx@xxx.com</t>
  </si>
  <si>
    <t>GENEVA Company Name
Address Line One
Address Line Two
Address Line Three
City Name, Country
Postal Code
PH: 234-567-8910
Email: xxx@xxx.com</t>
  </si>
  <si>
    <t>ABIDJAN Company Name
Address Line One
Address Line Two
Address Line Three
City Name, Country
Postal Code
PH: 234-567-8910
Email: xxx@xxx.com</t>
  </si>
  <si>
    <t>RAROTONGA Company Name
Address Line One
Address Line Two
Address Line Three
City Name, Country
Postal Code
PH: 234-567-8910
Email: xxx@xxx.com</t>
  </si>
  <si>
    <t>SANTIAGO Company Name
Address Line One
Address Line Two
Address Line Three
City Name, Country
Postal Code
PH: 234-567-8910
Email: xxx@xxx.com</t>
  </si>
  <si>
    <t>DOUALA Company Name
Address Line One
Address Line Two
Address Line Three
City Name, Country
Postal Code
PH: 234-567-8910
Email: xxx@xxx.com</t>
  </si>
  <si>
    <t>BEIJING Company Name
Address Line One
Address Line Two
Address Line Three
City Name, Country
Postal Code
PH: 234-567-8910
Email: xxx@xxx.com</t>
  </si>
  <si>
    <t>CHONGQING Company Name
Address Line One
Address Line Two
Address Line Three
City Name, Country
Postal Code
PH: 234-567-8910
Email: xxx@xxx.com</t>
  </si>
  <si>
    <t>DALIAN Company Name
Address Line One
Address Line Two
Address Line Three
City Name, Country
Postal Code
PH: 234-567-8910
Email: xxx@xxx.com</t>
  </si>
  <si>
    <t>FUZHOU Company Name
Address Line One
Address Line Two
Address Line Three
City Name, Country
Postal Code
PH: 234-567-8910
Email: xxx@xxx.com</t>
  </si>
  <si>
    <t>GUANGZHOU Company Name
Address Line One
Address Line Two
Address Line Three
City Name, Country
Postal Code
PH: 234-567-8910
Email: xxx@xxx.com</t>
  </si>
  <si>
    <t>HANGZHOU Company Name
Address Line One
Address Line Two
Address Line Three
City Name, Country
Postal Code
PH: 234-567-8910
Email: xxx@xxx.com</t>
  </si>
  <si>
    <t>NANJING Company Name
Address Line One
Address Line Two
Address Line Three
City Name, Country
Postal Code
PH: 234-567-8910
Email: xxx@xxx.com</t>
  </si>
  <si>
    <t>NINGBO Company Name
Address Line One
Address Line Two
Address Line Three
City Name, Country
Postal Code
PH: 234-567-8910
Email: xxx@xxx.com</t>
  </si>
  <si>
    <t>QINGDAO Company Name
Address Line One
Address Line Two
Address Line Three
City Name, Country
Postal Code
PH: 234-567-8910
Email: xxx@xxx.com</t>
  </si>
  <si>
    <t>SHANGHAI Company Name
Address Line One
Address Line Two
Address Line Three
City Name, Country
Postal Code
PH: 234-567-8910
Email: xxx@xxx.com</t>
  </si>
  <si>
    <t>SHENZHEN Company Name
Address Line One
Address Line Two
Address Line Three
City Name, Country
Postal Code
PH: 234-567-8910
Email: xxx@xxx.com</t>
  </si>
  <si>
    <t>TIANJIN Company Name
Address Line One
Address Line Two
Address Line Three
City Name, Country
Postal Code
PH: 234-567-8910
Email: xxx@xxx.com</t>
  </si>
  <si>
    <t>WUHAN Company Name
Address Line One
Address Line Two
Address Line Three
City Name, Country
Postal Code
PH: 234-567-8910
Email: xxx@xxx.com</t>
  </si>
  <si>
    <t>XIAMEN Company Name
Address Line One
Address Line Two
Address Line Three
City Name, Country
Postal Code
PH: 234-567-8910
Email: xxx@xxx.com</t>
  </si>
  <si>
    <t>ZHONGSHAN Company Name
Address Line One
Address Line Two
Address Line Three
City Name, Country
Postal Code
PH: 234-567-8910
Email: xxx@xxx.com</t>
  </si>
  <si>
    <t>ZHUHAI Company Name
Address Line One
Address Line Two
Address Line Three
City Name, Country
Postal Code
PH: 234-567-8910
Email: xxx@xxx.com</t>
  </si>
  <si>
    <t>BOGOTA Company Name
Address Line One
Address Line Two
Address Line Three
City Name, Country
Postal Code
PH: 234-567-8910
Email: xxx@xxx.com</t>
  </si>
  <si>
    <t>BUENAVENTURA Company Name
Address Line One
Address Line Two
Address Line Three
City Name, Country
Postal Code
PH: 234-567-8910
Email: xxx@xxx.com</t>
  </si>
  <si>
    <t>CALI Company Name
Address Line One
Address Line Two
Address Line Three
City Name, Country
Postal Code
PH: 234-567-8910
Email: xxx@xxx.com</t>
  </si>
  <si>
    <t>CARTAGENA Company Name
Address Line One
Address Line Two
Address Line Three
City Name, Country
Postal Code
PH: 234-567-8910
Email: xxx@xxx.com</t>
  </si>
  <si>
    <t>MEDILLIN Company Name
Address Line One
Address Line Two
Address Line Three
City Name, Country
Postal Code
PH: 234-567-8910
Email: xxx@xxx.com</t>
  </si>
  <si>
    <t>SAN JOSE Company Name
Address Line One
Address Line Two
Address Line Three
City Name, Country
Postal Code
PH: 234-567-8910
Email: xxx@xxx.com</t>
  </si>
  <si>
    <t>LIMASSOL Company Name
Address Line One
Address Line Two
Address Line Three
City Name, Country
Postal Code
PH: 234-567-8910
Email: xxx@xxx.com</t>
  </si>
  <si>
    <t>PRAGUE Company Name
Address Line One
Address Line Two
Address Line Three
City Name, Country
Postal Code
PH: 234-567-8910
Email: xxx@xxx.com</t>
  </si>
  <si>
    <t>HAMBURG Company Name
Address Line One
Address Line Two
Address Line Three
City Name, Country
Postal Code
PH: 234-567-8910
Email: xxx@xxx.com</t>
  </si>
  <si>
    <t>DJIBOUTI Company Name
Address Line One
Address Line Two
Address Line Three
City Name, Country
Postal Code
PH: 234-567-8910
Email: xxx@xxx.com</t>
  </si>
  <si>
    <t>COPENHAGEN Company Name
Address Line One
Address Line Two
Address Line Three
City Name, Country
Postal Code
PH: 234-567-8910
Email: xxx@xxx.com</t>
  </si>
  <si>
    <t>ALGIERS Company Name
Address Line One
Address Line Two
Address Line Three
City Name, Country
Postal Code
PH: 234-567-8910
Email: xxx@xxx.com</t>
  </si>
  <si>
    <t>GUAYAQUIL Company Name
Address Line One
Address Line Two
Address Line Three
City Name, Country
Postal Code
PH: 234-567-8910
Email: xxx@xxx.com</t>
  </si>
  <si>
    <t>ALEXANDRIA Company Name
Address Line One
Address Line Two
Address Line Three
City Name, Country
Postal Code
PH: 234-567-8910
Email: xxx@xxx.com</t>
  </si>
  <si>
    <t>CAIRO Company Name
Address Line One
Address Line Two
Address Line Three
City Name, Country
Postal Code
PH: 234-567-8910
Email: xxx@xxx.com</t>
  </si>
  <si>
    <t>BARCELONA Company Name
Address Line One
Address Line Two
Address Line Three
City Name, Country
Postal Code
PH: 234-567-8910
Email: xxx@xxx.com</t>
  </si>
  <si>
    <t>BILBAO Company Name
Address Line One
Address Line Two
Address Line Three
City Name, Country
Postal Code
PH: 234-567-8910
Email: xxx@xxx.com</t>
  </si>
  <si>
    <t>ADDIS ABABA Company Name
Address Line One
Address Line Two
Address Line Three
City Name, Country
Postal Code
PH: 234-567-8910
Email: xxx@xxx.com</t>
  </si>
  <si>
    <t>HELSINKI Company Name
Address Line One
Address Line Two
Address Line Three
City Name, Country
Postal Code
PH: 234-567-8910
Email: xxx@xxx.com</t>
  </si>
  <si>
    <t>LAUTOKA Company Name
Address Line One
Address Line Two
Address Line Three
City Name, Country
Postal Code
PH: 234-567-8910
Email: xxx@xxx.com</t>
  </si>
  <si>
    <t>SUVA Company Name
Address Line One
Address Line Two
Address Line Three
City Name, Country
Postal Code
PH: 234-567-8910
Email: xxx@xxx.com</t>
  </si>
  <si>
    <t>LE HAVRE Company Name
Address Line One
Address Line Two
Address Line Three
City Name, Country
Postal Code
PH: 234-567-8910
Email: xxx@xxx.com</t>
  </si>
  <si>
    <t>LYON Company Name
Address Line One
Address Line Two
Address Line Three
City Name, Country
Postal Code
PH: 234-567-8910
Email: xxx@xxx.com</t>
  </si>
  <si>
    <t>BIRMINGHAM Company Name
Address Line One
Address Line Two
Address Line Three
City Name, Country
Postal Code
PH: 234-567-8910
Email: xxx@xxx.com</t>
  </si>
  <si>
    <t>LONDON Company Name
Address Line One
Address Line Two
Address Line Three
City Name, Country
Postal Code
PH: 234-567-8910
Email: xxx@xxx.com</t>
  </si>
  <si>
    <t>MANCHESTER Company Name
Address Line One
Address Line Two
Address Line Three
City Name, Country
Postal Code
PH: 234-567-8910
Email: xxx@xxx.com</t>
  </si>
  <si>
    <t>ACCRA Company Name
Address Line One
Address Line Two
Address Line Three
City Name, Country
Postal Code
PH: 234-567-8910
Email: xxx@xxx.com</t>
  </si>
  <si>
    <t>CONKARY Company Name
Address Line One
Address Line Two
Address Line Three
City Name, Country
Postal Code
PH: 234-567-8910
Email: xxx@xxx.com</t>
  </si>
  <si>
    <t>ATHENS Company Name
Address Line One
Address Line Two
Address Line Three
City Name, Country
Postal Code
PH: 234-567-8910
Email: xxx@xxx.com</t>
  </si>
  <si>
    <t>GUATEMALA CITY Company Name
Address Line One
Address Line Two
Address Line Three
City Name, Country
Postal Code
PH: 234-567-8910
Email: xxx@xxx.com</t>
  </si>
  <si>
    <t>GEORGETOWN Company Name
Address Line One
Address Line Two
Address Line Three
City Name, Country
Postal Code
PH: 234-567-8910
Email: xxx@xxx.com</t>
  </si>
  <si>
    <t>HONG KONG Company Name
Address Line One
Address Line Two
Address Line Three
City Name, Country
Postal Code
PH: 234-567-8910
Email: xxx@xxx.com</t>
  </si>
  <si>
    <t>SAN PEDRO SULA Company Name
Address Line One
Address Line Two
Address Line Three
City Name, Country
Postal Code
PH: 234-567-8910
Email: xxx@xxx.com</t>
  </si>
  <si>
    <t>BUDAPEST Company Name
Address Line One
Address Line Two
Address Line Three
City Name, Country
Postal Code
PH: 234-567-8910
Email: xxx@xxx.com</t>
  </si>
  <si>
    <t>BATAM Company Name
Address Line One
Address Line Two
Address Line Three
City Name, Country
Postal Code
PH: 234-567-8910
Email: xxx@xxx.com</t>
  </si>
  <si>
    <t>BELAWAN Company Name
Address Line One
Address Line Two
Address Line Three
City Name, Country
Postal Code
PH: 234-567-8910
Email: xxx@xxx.com</t>
  </si>
  <si>
    <t>JAKARTA Company Name
Address Line One
Address Line Two
Address Line Three
City Name, Country
Postal Code
PH: 234-567-8910
Email: xxx@xxx.com</t>
  </si>
  <si>
    <t>SEMARANG Company Name
Address Line One
Address Line Two
Address Line Three
City Name, Country
Postal Code
PH: 234-567-8910
Email: xxx@xxx.com</t>
  </si>
  <si>
    <t>SURABAYA Company Name
Address Line One
Address Line Two
Address Line Three
City Name, Country
Postal Code
PH: 234-567-8910
Email: xxx@xxx.com</t>
  </si>
  <si>
    <t>DUBLIN Company Name
Address Line One
Address Line Two
Address Line Three
City Name, Country
Postal Code
PH: 234-567-8910
Email: xxx@xxx.com</t>
  </si>
  <si>
    <t>LOD Company Name
Address Line One
Address Line Two
Address Line Three
City Name, Country
Postal Code
PH: 234-567-8910
Email: xxx@xxx.com</t>
  </si>
  <si>
    <t>TEL AVIV Company Name
Address Line One
Address Line Two
Address Line Three
City Name, Country
Postal Code
PH: 234-567-8910
Email: xxx@xxx.com</t>
  </si>
  <si>
    <t>AHMEDABAD Company Name
Address Line One
Address Line Two
Address Line Three
City Name, Country
Postal Code
PH: 234-567-8910
Email: xxx@xxx.com</t>
  </si>
  <si>
    <t>BANGALORE Company Name
Address Line One
Address Line Two
Address Line Three
City Name, Country
Postal Code
PH: 234-567-8910
Email: xxx@xxx.com</t>
  </si>
  <si>
    <t>BARODA Company Name
Address Line One
Address Line Two
Address Line Three
City Name, Country
Postal Code
PH: 234-567-8910
Email: xxx@xxx.com</t>
  </si>
  <si>
    <t>CHENNAI Company Name
Address Line One
Address Line Two
Address Line Three
City Name, Country
Postal Code
PH: 234-567-8910
Email: xxx@xxx.com</t>
  </si>
  <si>
    <t>COIMBATORE Company Name
Address Line One
Address Line Two
Address Line Three
City Name, Country
Postal Code
PH: 234-567-8910
Email: xxx@xxx.com</t>
  </si>
  <si>
    <t>HYDERABAD Company Name
Address Line One
Address Line Two
Address Line Three
City Name, Country
Postal Code
PH: 234-567-8910
Email: xxx@xxx.com</t>
  </si>
  <si>
    <t>JAIPUR Company Name
Address Line One
Address Line Two
Address Line Three
City Name, Country
Postal Code
PH: 234-567-8910
Email: xxx@xxx.com</t>
  </si>
  <si>
    <t>JALANDHAR Company Name
Address Line One
Address Line Two
Address Line Three
City Name, Country
Postal Code
PH: 234-567-8910
Email: xxx@xxx.com</t>
  </si>
  <si>
    <t>KANPUR Company Name
Address Line One
Address Line Two
Address Line Three
City Name, Country
Postal Code
PH: 234-567-8910
Email: xxx@xxx.com</t>
  </si>
  <si>
    <t>KOCHI Company Name
Address Line One
Address Line Two
Address Line Three
City Name, Country
Postal Code
PH: 234-567-8910
Email: xxx@xxx.com</t>
  </si>
  <si>
    <t>KOLKATA Company Name
Address Line One
Address Line Two
Address Line Three
City Name, Country
Postal Code
PH: 234-567-8910
Email: xxx@xxx.com</t>
  </si>
  <si>
    <t>LUDHIANA Company Name
Address Line One
Address Line Two
Address Line Three
City Name, Country
Postal Code
PH: 234-567-8910
Email: xxx@xxx.com</t>
  </si>
  <si>
    <t>MUMBAI Company Name
Address Line One
Address Line Two
Address Line Three
City Name, Country
Postal Code
PH: 234-567-8910
Email: xxx@xxx.com</t>
  </si>
  <si>
    <t>NEW DELHI Company Name
Address Line One
Address Line Two
Address Line Three
City Name, Country
Postal Code
PH: 234-567-8910
Email: xxx@xxx.com</t>
  </si>
  <si>
    <t>PUNE Company Name
Address Line One
Address Line Two
Address Line Three
City Name, Country
Postal Code
PH: 234-567-8910
Email: xxx@xxx.com</t>
  </si>
  <si>
    <t>TIRUPUR Company Name
Address Line One
Address Line Two
Address Line Three
City Name, Country
Postal Code
PH: 234-567-8910
Email: xxx@xxx.com</t>
  </si>
  <si>
    <t>TUTICORIN Company Name
Address Line One
Address Line Two
Address Line Three
City Name, Country
Postal Code
PH: 234-567-8910
Email: xxx@xxx.com</t>
  </si>
  <si>
    <t>MILAN Company Name
Address Line One
Address Line Two
Address Line Three
City Name, Country
Postal Code
PH: 234-567-8910
Email: xxx@xxx.com</t>
  </si>
  <si>
    <t>KINGSTON Company Name
Address Line One
Address Line Two
Address Line Three
City Name, Country
Postal Code
PH: 234-567-8910
Email: xxx@xxx.com</t>
  </si>
  <si>
    <t>AMMAN Company Name
Address Line One
Address Line Two
Address Line Three
City Name, Country
Postal Code
PH: 234-567-8910
Email: xxx@xxx.com</t>
  </si>
  <si>
    <t>OSAKA Company Name
Address Line One
Address Line Two
Address Line Three
City Name, Country
Postal Code
PH: 234-567-8910
Email: xxx@xxx.com</t>
  </si>
  <si>
    <t>TOKYO Company Name
Address Line One
Address Line Two
Address Line Three
City Name, Country
Postal Code
PH: 234-567-8910
Email: xxx@xxx.com</t>
  </si>
  <si>
    <t>MOMBASA Company Name
Address Line One
Address Line Two
Address Line Three
City Name, Country
Postal Code
PH: 234-567-8910
Email: xxx@xxx.com</t>
  </si>
  <si>
    <t>NAIROBI Company Name
Address Line One
Address Line Two
Address Line Three
City Name, Country
Postal Code
PH: 234-567-8910
Email: xxx@xxx.com</t>
  </si>
  <si>
    <t>PHNOM PENH Company Name
Address Line One
Address Line Two
Address Line Three
City Name, Country
Postal Code
PH: 234-567-8910
Email: xxx@xxx.com</t>
  </si>
  <si>
    <t>TARAWA Company Name
Address Line One
Address Line Two
Address Line Three
City Name, Country
Postal Code
PH: 234-567-8910
Email: xxx@xxx.com</t>
  </si>
  <si>
    <t>SEOUL Company Name
Address Line One
Address Line Two
Address Line Three
City Name, Country
Postal Code
PH: 234-567-8910
Email: xxx@xxx.com</t>
  </si>
  <si>
    <t>KUWAIT CITY Company Name
Address Line One
Address Line Two
Address Line Three
City Name, Country
Postal Code
PH: 234-567-8910
Email: xxx@xxx.com</t>
  </si>
  <si>
    <t>BEIRUT Company Name
Address Line One
Address Line Two
Address Line Three
City Name, Country
Postal Code
PH: 234-567-8910
Email: xxx@xxx.com</t>
  </si>
  <si>
    <t>COLOMBO Company Name
Address Line One
Address Line Two
Address Line Three
City Name, Country
Postal Code
PH: 234-567-8910
Email: xxx@xxx.com</t>
  </si>
  <si>
    <t>KLAIPEDA Company Name
Address Line One
Address Line Two
Address Line Three
City Name, Country
Postal Code
PH: 234-567-8910
Email: xxx@xxx.com</t>
  </si>
  <si>
    <t>CASABLANCA Company Name
Address Line One
Address Line Two
Address Line Three
City Name, Country
Postal Code
PH: 234-567-8910
Email: xxx@xxx.com</t>
  </si>
  <si>
    <t>TOAMASINA Company Name
Address Line One
Address Line Two
Address Line Three
City Name, Country
Postal Code
PH: 234-567-8910
Email: xxx@xxx.com</t>
  </si>
  <si>
    <t>YANGON Company Name
Address Line One
Address Line Two
Address Line Three
City Name, Country
Postal Code
PH: 234-567-8910
Email: xxx@xxx.com</t>
  </si>
  <si>
    <t>VALETTA Company Name
Address Line One
Address Line Two
Address Line Three
City Name, Country
Postal Code
PH: 234-567-8910
Email: xxx@xxx.com</t>
  </si>
  <si>
    <t>PORT LOUIS Company Name
Address Line One
Address Line Two
Address Line Three
City Name, Country
Postal Code
PH: 234-567-8910
Email: xxx@xxx.com</t>
  </si>
  <si>
    <t>GUADALAJARA Company Name
Address Line One
Address Line Two
Address Line Three
City Name, Country
Postal Code
PH: 234-567-8910
Email: xxx@xxx.com</t>
  </si>
  <si>
    <t>MANZANILLO Company Name
Address Line One
Address Line Two
Address Line Three
City Name, Country
Postal Code
PH: 234-567-8910
Email: xxx@xxx.com</t>
  </si>
  <si>
    <t>MEXICO CITY Company Name
Address Line One
Address Line Two
Address Line Three
City Name, Country
Postal Code
PH: 234-567-8910
Email: xxx@xxx.com</t>
  </si>
  <si>
    <t>MONTERREY Company Name
Address Line One
Address Line Two
Address Line Three
City Name, Country
Postal Code
PH: 234-567-8910
Email: xxx@xxx.com</t>
  </si>
  <si>
    <t>VERACRUZ Company Name
Address Line One
Address Line Two
Address Line Three
City Name, Country
Postal Code
PH: 234-567-8910
Email: xxx@xxx.com</t>
  </si>
  <si>
    <t>BATU PAHAT Company Name
Address Line One
Address Line Two
Address Line Three
City Name, Country
Postal Code
PH: 234-567-8910
Email: xxx@xxx.com</t>
  </si>
  <si>
    <t>JOHOR BAHRU Company Name
Address Line One
Address Line Two
Address Line Three
City Name, Country
Postal Code
PH: 234-567-8910
Email: xxx@xxx.com</t>
  </si>
  <si>
    <t>PENANG Company Name
Address Line One
Address Line Two
Address Line Three
City Name, Country
Postal Code
PH: 234-567-8910
Email: xxx@xxx.com</t>
  </si>
  <si>
    <t>PORT KLANG Company Name
Address Line One
Address Line Two
Address Line Three
City Name, Country
Postal Code
PH: 234-567-8910
Email: xxx@xxx.com</t>
  </si>
  <si>
    <t>MAPUTO Company Name
Address Line One
Address Line Two
Address Line Three
City Name, Country
Postal Code
PH: 234-567-8910
Email: xxx@xxx.com</t>
  </si>
  <si>
    <t>NOUMEA Company Name
Address Line One
Address Line Two
Address Line Three
City Name, Country
Postal Code
PH: 234-567-8910
Email: xxx@xxx.com</t>
  </si>
  <si>
    <t>LAGOS Company Name
Address Line One
Address Line Two
Address Line Three
City Name, Country
Postal Code
PH: 234-567-8910
Email: xxx@xxx.com</t>
  </si>
  <si>
    <t>MANAGUA Company Name
Address Line One
Address Line Two
Address Line Three
City Name, Country
Postal Code
PH: 234-567-8910
Email: xxx@xxx.com</t>
  </si>
  <si>
    <t>ROTTERDAM Company Name
Address Line One
Address Line Two
Address Line Three
City Name, Country
Postal Code
PH: 234-567-8910
Email: xxx@xxx.com</t>
  </si>
  <si>
    <t>OSLO Company Name
Address Line One
Address Line Two
Address Line Three
City Name, Country
Postal Code
PH: 234-567-8910
Email: xxx@xxx.com</t>
  </si>
  <si>
    <t>KATHMANDU Company Name
Address Line One
Address Line Two
Address Line Three
City Name, Country
Postal Code
PH: 234-567-8910
Email: xxx@xxx.com</t>
  </si>
  <si>
    <t>AUCKLAND Company Name
Address Line One
Address Line Two
Address Line Three
City Name, Country
Postal Code
PH: 234-567-8910
Email: xxx@xxx.com</t>
  </si>
  <si>
    <t>CHRISTCHURCH Company Name
Address Line One
Address Line Two
Address Line Three
City Name, Country
Postal Code
PH: 234-567-8910
Email: xxx@xxx.com</t>
  </si>
  <si>
    <t>WELLINGTON Company Name
Address Line One
Address Line Two
Address Line Three
City Name, Country
Postal Code
PH: 234-567-8910
Email: xxx@xxx.com</t>
  </si>
  <si>
    <t>SOHAR Company Name
Address Line One
Address Line Two
Address Line Three
City Name, Country
Postal Code
PH: 234-567-8910
Email: xxx@xxx.com</t>
  </si>
  <si>
    <t>COLON Company Name
Address Line One
Address Line Two
Address Line Three
City Name, Country
Postal Code
PH: 234-567-8910
Email: xxx@xxx.com</t>
  </si>
  <si>
    <t>PANAMA CITY Company Name
Address Line One
Address Line Two
Address Line Three
City Name, Country
Postal Code
PH: 234-567-8910
Email: xxx@xxx.com</t>
  </si>
  <si>
    <t>LIMA Company Name
Address Line One
Address Line Two
Address Line Three
City Name, Country
Postal Code
PH: 234-567-8910
Email: xxx@xxx.com</t>
  </si>
  <si>
    <t>PAPEETE Company Name
Address Line One
Address Line Two
Address Line Three
City Name, Country
Postal Code
PH: 234-567-8910
Email: xxx@xxx.com</t>
  </si>
  <si>
    <t>ALOTAU Company Name
Address Line One
Address Line Two
Address Line Three
City Name, Country
Postal Code
PH: 234-567-8910
Email: xxx@xxx.com</t>
  </si>
  <si>
    <t>LAE Company Name
Address Line One
Address Line Two
Address Line Three
City Name, Country
Postal Code
PH: 234-567-8910
Email: xxx@xxx.com</t>
  </si>
  <si>
    <t>LIHIR ISLAND Company Name
Address Line One
Address Line Two
Address Line Three
City Name, Country
Postal Code
PH: 234-567-8910
Email: xxx@xxx.com</t>
  </si>
  <si>
    <t>MADANG Company Name
Address Line One
Address Line Two
Address Line Three
City Name, Country
Postal Code
PH: 234-567-8910
Email: xxx@xxx.com</t>
  </si>
  <si>
    <t>PORT MORESBY Company Name
Address Line One
Address Line Two
Address Line Three
City Name, Country
Postal Code
PH: 234-567-8910
Email: xxx@xxx.com</t>
  </si>
  <si>
    <t>RABAUL Company Name
Address Line One
Address Line Two
Address Line Three
City Name, Country
Postal Code
PH: 234-567-8910
Email: xxx@xxx.com</t>
  </si>
  <si>
    <t>CEBU Company Name
Address Line One
Address Line Two
Address Line Three
City Name, Country
Postal Code
PH: 234-567-8910
Email: xxx@xxx.com</t>
  </si>
  <si>
    <t>MANILA Company Name
Address Line One
Address Line Two
Address Line Three
City Name, Country
Postal Code
PH: 234-567-8910
Email: xxx@xxx.com</t>
  </si>
  <si>
    <t>KARACHI Company Name
Address Line One
Address Line Two
Address Line Three
City Name, Country
Postal Code
PH: 234-567-8910
Email: xxx@xxx.com</t>
  </si>
  <si>
    <t>LAHORE Company Name
Address Line One
Address Line Two
Address Line Three
City Name, Country
Postal Code
PH: 234-567-8910
Email: xxx@xxx.com</t>
  </si>
  <si>
    <t>GDYNIA Company Name
Address Line One
Address Line Two
Address Line Three
City Name, Country
Postal Code
PH: 234-567-8910
Email: xxx@xxx.com</t>
  </si>
  <si>
    <t>LISBON Company Name
Address Line One
Address Line Two
Address Line Three
City Name, Country
Postal Code
PH: 234-567-8910
Email: xxx@xxx.com</t>
  </si>
  <si>
    <t>PORTO Company Name
Address Line One
Address Line Two
Address Line Three
City Name, Country
Postal Code
PH: 234-567-8910
Email: xxx@xxx.com</t>
  </si>
  <si>
    <t>ASUNCION Company Name
Address Line One
Address Line Two
Address Line Three
City Name, Country
Postal Code
PH: 234-567-8910
Email: xxx@xxx.com</t>
  </si>
  <si>
    <t>DOHA Company Name
Address Line One
Address Line Two
Address Line Three
City Name, Country
Postal Code
PH: 234-567-8910
Email: xxx@xxx.com</t>
  </si>
  <si>
    <t>POINTE DES GALETS Company Name
Address Line One
Address Line Two
Address Line Three
City Name, Country
Postal Code
PH: 234-567-8910
Email: xxx@xxx.com</t>
  </si>
  <si>
    <t>BUCHAREST Company Name
Address Line One
Address Line Two
Address Line Three
City Name, Country
Postal Code
PH: 234-567-8910
Email: xxx@xxx.com</t>
  </si>
  <si>
    <t>ST. PETERSBURG Company Name
Address Line One
Address Line Two
Address Line Three
City Name, Country
Postal Code
PH: 234-567-8910
Email: xxx@xxx.com</t>
  </si>
  <si>
    <t>DAMMAM Company Name
Address Line One
Address Line Two
Address Line Three
City Name, Country
Postal Code
PH: 234-567-8910
Email: xxx@xxx.com</t>
  </si>
  <si>
    <t>JEDDAH Company Name
Address Line One
Address Line Two
Address Line Three
City Name, Country
Postal Code
PH: 234-567-8910
Email: xxx@xxx.com</t>
  </si>
  <si>
    <t>RIYADH Company Name
Address Line One
Address Line Two
Address Line Three
City Name, Country
Postal Code
PH: 234-567-8910
Email: xxx@xxx.com</t>
  </si>
  <si>
    <t>HONIARA Company Name
Address Line One
Address Line Two
Address Line Three
City Name, Country
Postal Code
PH: 234-567-8910
Email: xxx@xxx.com</t>
  </si>
  <si>
    <t>PORT SUDAN Company Name
Address Line One
Address Line Two
Address Line Three
City Name, Country
Postal Code
PH: 234-567-8910
Email: xxx@xxx.com</t>
  </si>
  <si>
    <t>GOTHENBURG Company Name
Address Line One
Address Line Two
Address Line Three
City Name, Country
Postal Code
PH: 234-567-8910
Email: xxx@xxx.com</t>
  </si>
  <si>
    <t>SINGAPORE Company Name
Address Line One
Address Line Two
Address Line Three
City Name, Country
Postal Code
PH: 234-567-8910
Email: xxx@xxx.com</t>
  </si>
  <si>
    <t>KOPER Company Name
Address Line One
Address Line Two
Address Line Three
City Name, Country
Postal Code
PH: 234-567-8910
Email: xxx@xxx.com</t>
  </si>
  <si>
    <t>BRATISLAVA Company Name
Address Line One
Address Line Two
Address Line Three
City Name, Country
Postal Code
PH: 234-567-8910
Email: xxx@xxx.com</t>
  </si>
  <si>
    <t>FREETOWN Company Name
Address Line One
Address Line Two
Address Line Three
City Name, Country
Postal Code
PH: 234-567-8910
Email: xxx@xxx.com</t>
  </si>
  <si>
    <t>DAKAR Company Name
Address Line One
Address Line Two
Address Line Three
City Name, Country
Postal Code
PH: 234-567-8910
Email: xxx@xxx.com</t>
  </si>
  <si>
    <t>SAN SALVADOR Company Name
Address Line One
Address Line Two
Address Line Three
City Name, Country
Postal Code
PH: 234-567-8910
Email: xxx@xxx.com</t>
  </si>
  <si>
    <t>LOME Company Name
Address Line One
Address Line Two
Address Line Three
City Name, Country
Postal Code
PH: 234-567-8910
Email: xxx@xxx.com</t>
  </si>
  <si>
    <t>BANGKOK Company Name
Address Line One
Address Line Two
Address Line Three
City Name, Country
Postal Code
PH: 234-567-8910
Email: xxx@xxx.com</t>
  </si>
  <si>
    <t>TUNIS Company Name
Address Line One
Address Line Two
Address Line Three
City Name, Country
Postal Code
PH: 234-567-8910
Email: xxx@xxx.com</t>
  </si>
  <si>
    <t>NUKU'ALOFA Company Name
Address Line One
Address Line Two
Address Line Three
City Name, Country
Postal Code
PH: 234-567-8910
Email: xxx@xxx.com</t>
  </si>
  <si>
    <t>ISTANBUL Company Name
Address Line One
Address Line Two
Address Line Three
City Name, Country
Postal Code
PH: 234-567-8910
Email: xxx@xxx.com</t>
  </si>
  <si>
    <t>IZMIR Company Name
Address Line One
Address Line Two
Address Line Three
City Name, Country
Postal Code
PH: 234-567-8910
Email: xxx@xxx.com</t>
  </si>
  <si>
    <t>PORT OF SPAIN Company Name
Address Line One
Address Line Two
Address Line Three
City Name, Country
Postal Code
PH: 234-567-8910
Email: xxx@xxx.com</t>
  </si>
  <si>
    <t>KAOHSIUNG Company Name
Address Line One
Address Line Two
Address Line Three
City Name, Country
Postal Code
PH: 234-567-8910
Email: xxx@xxx.com</t>
  </si>
  <si>
    <t>TAICHUNG CITY Company Name
Address Line One
Address Line Two
Address Line Three
City Name, Country
Postal Code
PH: 234-567-8910
Email: xxx@xxx.com</t>
  </si>
  <si>
    <t>TAIPEI Company Name
Address Line One
Address Line Two
Address Line Three
City Name, Country
Postal Code
PH: 234-567-8910
Email: xxx@xxx.com</t>
  </si>
  <si>
    <t>DAR ES SALAAM Company Name
Address Line One
Address Line Two
Address Line Three
City Name, Country
Postal Code
PH: 234-567-8910
Email: xxx@xxx.com</t>
  </si>
  <si>
    <t>KAMPALA Company Name
Address Line One
Address Line Two
Address Line Three
City Name, Country
Postal Code
PH: 234-567-8910
Email: xxx@xxx.com</t>
  </si>
  <si>
    <t>ATLANTA Company Name
Address Line One
Address Line Two
Address Line Three
City Name, Country
Postal Code
PH: 234-567-8910
Email: xxx@xxx.com</t>
  </si>
  <si>
    <t>BALTIMORE Company Name
Address Line One
Address Line Two
Address Line Three
City Name, Country
Postal Code
PH: 234-567-8910
Email: xxx@xxx.com</t>
  </si>
  <si>
    <t>CARTERET Company Name
Address Line One
Address Line Two
Address Line Three
City Name, Country
Postal Code
PH: 234-567-8910
Email: xxx@xxx.com</t>
  </si>
  <si>
    <t>CHICAGO Company Name
Address Line One
Address Line Two
Address Line Three
City Name, Country
Postal Code
PH: 234-567-8910
Email: xxx@xxx.com</t>
  </si>
  <si>
    <t>CINCINNATI Company Name
Address Line One
Address Line Two
Address Line Three
City Name, Country
Postal Code
PH: 234-567-8910
Email: xxx@xxx.com</t>
  </si>
  <si>
    <t>DETROIT Company Name
Address Line One
Address Line Two
Address Line Three
City Name, Country
Postal Code
PH: 234-567-8910
Email: xxx@xxx.com</t>
  </si>
  <si>
    <t>HOUSTON Company Name
Address Line One
Address Line Two
Address Line Three
City Name, Country
Postal Code
PH: 234-567-8910
Email: xxx@xxx.com</t>
  </si>
  <si>
    <t>LONG BEACH Company Name
Address Line One
Address Line Two
Address Line Three
City Name, Country
Postal Code
PH: 234-567-8910
Email: xxx@xxx.com</t>
  </si>
  <si>
    <t>LOS ANGELES Company Name
Address Line One
Address Line Two
Address Line Three
City Name, Country
Postal Code
PH: 234-567-8910
Email: xxx@xxx.com</t>
  </si>
  <si>
    <t>MIAMI Company Name
Address Line One
Address Line Two
Address Line Three
City Name, Country
Postal Code
PH: 234-567-8910
Email: xxx@xxx.com</t>
  </si>
  <si>
    <t>MINNEAPOLIS Company Name
Address Line One
Address Line Two
Address Line Three
City Name, Country
Postal Code
PH: 234-567-8910
Email: xxx@xxx.com</t>
  </si>
  <si>
    <t>PHILADELPHIA Company Name
Address Line One
Address Line Two
Address Line Three
City Name, Country
Postal Code
PH: 234-567-8910
Email: xxx@xxx.com</t>
  </si>
  <si>
    <t>SEATTLE Company Name
Address Line One
Address Line Two
Address Line Three
City Name, Country
Postal Code
PH: 234-567-8910
Email: xxx@xxx.com</t>
  </si>
  <si>
    <t>MONTEVIDEO Company Name
Address Line One
Address Line Two
Address Line Three
City Name, Country
Postal Code
PH: 234-567-8910
Email: xxx@xxx.com</t>
  </si>
  <si>
    <t>CARACAS Company Name
Address Line One
Address Line Two
Address Line Three
City Name, Country
Postal Code
PH: 234-567-8910
Email: xxx@xxx.com</t>
  </si>
  <si>
    <t>DA NANG Company Name
Address Line One
Address Line Two
Address Line Three
City Name, Country
Postal Code
PH: 234-567-8910
Email: xxx@xxx.com</t>
  </si>
  <si>
    <t>HANOI Company Name
Address Line One
Address Line Two
Address Line Three
City Name, Country
Postal Code
PH: 234-567-8910
Email: xxx@xxx.com</t>
  </si>
  <si>
    <t>HO CHI MINH CITY Company Name
Address Line One
Address Line Two
Address Line Three
City Name, Country
Postal Code
PH: 234-567-8910
Email: xxx@xxx.com</t>
  </si>
  <si>
    <t>PORT VILA Company Name
Address Line One
Address Line Two
Address Line Three
City Name, Country
Postal Code
PH: 234-567-8910
Email: xxx@xxx.com</t>
  </si>
  <si>
    <t>APIA Company Name
Address Line One
Address Line Two
Address Line Three
City Name, Country
Postal Code
PH: 234-567-8910
Email: xxx@xxx.com</t>
  </si>
  <si>
    <t>CAPE TOWN Company Name
Address Line One
Address Line Two
Address Line Three
City Name, Country
Postal Code
PH: 234-567-8910
Email: xxx@xxx.com</t>
  </si>
  <si>
    <t>DURBAN Company Name
Address Line One
Address Line Two
Address Line Three
City Name, Country
Postal Code
PH: 234-567-8910
Email: xxx@xxx.com</t>
  </si>
  <si>
    <t>JOHANNESBURG Company Name
Address Line One
Address Line Two
Address Line Three
City Name, Country
Postal Code
PH: 234-567-8910
Email: xxx@xxx.com</t>
  </si>
  <si>
    <t>PORT ELIZABETH Company Name
Address Line One
Address Line Two
Address Line Three
City Name, Country
Postal Code
PH: 234-567-8910
Email: xxx@xxx.com</t>
  </si>
  <si>
    <t>LUSAKA Company Name
Address Line One
Address Line Two
Address Line Three
City Name, Country
Postal Code
PH: 234-567-8910
Email: xxx@xxx.com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</si>
</sst>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
    <numFmt numFmtId="165" formatCode="#"/>
    <numFmt numFmtId="166" formatCode="0.0000"/>
    <numFmt numFmtId="167" formatCode="d\ mmm\ yy"/>
    <numFmt numFmtId="168" formatCode="#,##0.000"/>
    <numFmt numFmtId="169" formatCode="#,##0.0000"/>
  </numFmts>
  <fonts count="21">
    <font>
      <sz val="11"/>
      <color theme="1"/>
      <name val="Calibri"/>
      <family val="2"/>
      <scheme val="minor"/>
    </font>
    <font>
      <sz val="8"/>
      <name val="新細明體"/>
      <family val="1"/>
      <charset val="136"/>
    </font>
    <font>
      <sz val="12"/>
      <color indexed="12"/>
      <name val="新細明體"/>
      <family val="1"/>
      <charset val="136"/>
    </font>
    <font>
      <b/>
      <sz val="16"/>
      <name val="Times New Roman"/>
      <family val="1"/>
    </font>
    <font>
      <sz val="16"/>
      <name val="Times New Roman"/>
      <family val="1"/>
    </font>
    <font>
      <sz val="16"/>
      <color theme="1"/>
      <name val="Times New Roman"/>
      <family val="1"/>
    </font>
    <font>
      <sz val="18"/>
      <name val="Times New Roman"/>
      <family val="1"/>
    </font>
    <font>
      <sz val="16"/>
      <color theme="1"/>
      <name val="Calibri"/>
      <family val="2"/>
      <scheme val="minor"/>
    </font>
    <font>
      <sz val="16"/>
      <name val="Calibri"/>
      <family val="2"/>
      <scheme val="minor"/>
    </font>
    <font>
      <b/>
      <sz val="12"/>
      <name val="Times New Roman"/>
      <family val="1"/>
    </font>
    <font>
      <sz val="16"/>
      <name val="Courier New"/>
      <family val="3"/>
    </font>
    <font>
      <b/>
      <sz val="11"/>
      <color theme="0"/>
      <name val="Calibri"/>
      <family val="2"/>
      <scheme val="minor"/>
    </font>
    <font>
      <sz val="16"/>
      <color theme="1"/>
      <name val="Arial"/>
      <family val="2"/>
    </font>
    <font>
      <sz val="16"/>
      <name val="Arial"/>
      <family val="2"/>
    </font>
    <font>
      <b/>
      <sz val="18"/>
      <name val="Arial"/>
      <family val="2"/>
    </font>
    <font>
      <b/>
      <sz val="16"/>
      <name val="Arial"/>
      <family val="2"/>
    </font>
    <font>
      <sz val="18"/>
      <name val="Arial"/>
      <family val="2"/>
    </font>
    <font>
      <b/>
      <sz val="16"/>
      <color theme="1"/>
      <name val="Arial"/>
      <family val="2"/>
    </font>
    <font>
      <b/>
      <sz val="20"/>
      <name val="Arial"/>
      <family val="2"/>
    </font>
    <font>
      <b/>
      <sz val="22"/>
      <color theme="1"/>
      <name val="Arial"/>
      <family val="2"/>
    </font>
    <font>
      <sz val="16"/>
      <color theme="1"/>
      <name val="Courier New"/>
      <family val="3"/>
    </font>
  </fonts>
  <fills count="7">
    <fill>
      <patternFill patternType="none"/>
    </fill>
    <fill>
      <patternFill patternType="gray125"/>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4" tint="0.59999389629810485"/>
        <bgColor indexed="64"/>
      </patternFill>
    </fill>
  </fills>
  <borders count="14">
    <border>
      <left/>
      <right/>
      <top/>
      <bottom/>
      <diagonal/>
    </border>
    <border>
      <left/>
      <right/>
      <top/>
      <bottom style="medium">
        <color indexed="64"/>
      </bottom>
      <diagonal/>
    </border>
    <border>
      <left/>
      <right/>
      <top/>
      <bottom style="thin">
        <color indexed="64"/>
      </bottom>
      <diagonal/>
    </border>
    <border>
      <left/>
      <right/>
      <top style="medium">
        <color indexed="64"/>
      </top>
      <bottom style="medium">
        <color indexed="64"/>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1">
    <xf numFmtId="0" fontId="0" fillId="0" borderId="0"/>
  </cellStyleXfs>
  <cellXfs count="147">
    <xf numFmtId="0" fontId="0" fillId="0" borderId="0" xfId="0"/>
    <xf numFmtId="0" fontId="0" fillId="2" borderId="0" xfId="0" applyFill="1" applyProtection="1"/>
    <xf numFmtId="0" fontId="4" fillId="2" borderId="0" xfId="0" applyFont="1" applyFill="1" applyBorder="1" applyProtection="1"/>
    <xf numFmtId="0" fontId="5" fillId="2" borderId="0" xfId="0" applyFont="1" applyFill="1" applyBorder="1" applyProtection="1"/>
    <xf numFmtId="0" fontId="4" fillId="2" borderId="0" xfId="0" applyFont="1" applyFill="1" applyBorder="1" applyAlignment="1" applyProtection="1"/>
    <xf numFmtId="0" fontId="1" fillId="2" borderId="0" xfId="0" applyFont="1" applyFill="1" applyProtection="1"/>
    <xf numFmtId="0" fontId="3" fillId="2" borderId="0" xfId="0" applyFont="1" applyFill="1" applyBorder="1" applyAlignment="1" applyProtection="1"/>
    <xf numFmtId="0" fontId="5" fillId="2" borderId="0" xfId="0" applyFont="1" applyFill="1" applyBorder="1" applyAlignment="1" applyProtection="1">
      <alignment vertical="center"/>
    </xf>
    <xf numFmtId="0" fontId="0" fillId="2" borderId="0" xfId="0" applyFill="1" applyBorder="1" applyProtection="1"/>
    <xf numFmtId="0" fontId="6" fillId="2" borderId="0" xfId="0" applyFont="1" applyFill="1" applyBorder="1" applyProtection="1"/>
    <xf numFmtId="0" fontId="2" fillId="2" borderId="0" xfId="0" applyFont="1" applyFill="1" applyBorder="1" applyProtection="1"/>
    <xf numFmtId="0" fontId="1" fillId="2" borderId="0" xfId="0" applyFont="1" applyFill="1" applyBorder="1" applyProtection="1"/>
    <xf numFmtId="0" fontId="7" fillId="2" borderId="0" xfId="0" applyFont="1" applyFill="1" applyProtection="1"/>
    <xf numFmtId="0" fontId="7" fillId="2" borderId="0" xfId="0" applyFont="1" applyFill="1" applyAlignment="1" applyProtection="1">
      <alignment horizontal="right"/>
    </xf>
    <xf numFmtId="0" fontId="0" fillId="2" borderId="0" xfId="0" applyFill="1" applyBorder="1" applyAlignment="1" applyProtection="1">
      <alignment horizontal="left" vertical="center"/>
    </xf>
    <xf numFmtId="0" fontId="6" fillId="2" borderId="0" xfId="0" applyFont="1" applyFill="1" applyBorder="1" applyAlignment="1" applyProtection="1">
      <alignment horizontal="left" vertical="center"/>
    </xf>
    <xf numFmtId="0" fontId="0" fillId="2" borderId="0" xfId="0" applyFill="1" applyAlignment="1" applyProtection="1">
      <alignment horizontal="left" vertical="center"/>
    </xf>
    <xf numFmtId="0" fontId="7" fillId="2" borderId="0" xfId="0" applyFont="1" applyFill="1" applyAlignment="1" applyProtection="1"/>
    <xf numFmtId="0" fontId="7" fillId="2" borderId="0" xfId="0" applyNumberFormat="1" applyFont="1" applyFill="1" applyProtection="1"/>
    <xf numFmtId="0" fontId="13" fillId="2" borderId="0" xfId="0" applyFont="1" applyFill="1" applyBorder="1" applyProtection="1"/>
    <xf numFmtId="0" fontId="13" fillId="2" borderId="0" xfId="0" applyNumberFormat="1" applyFont="1" applyFill="1" applyBorder="1" applyAlignment="1" applyProtection="1">
      <alignment horizontal="center" vertical="center" wrapText="1"/>
    </xf>
    <xf numFmtId="0" fontId="13" fillId="2" borderId="0" xfId="0" applyFont="1" applyFill="1" applyBorder="1" applyAlignment="1" applyProtection="1">
      <alignment horizontal="center" vertical="center" wrapText="1"/>
    </xf>
    <xf numFmtId="2" fontId="15" fillId="2" borderId="0" xfId="0" applyNumberFormat="1" applyFont="1" applyFill="1" applyBorder="1" applyAlignment="1" applyProtection="1">
      <alignment horizontal="center" vertical="center"/>
    </xf>
    <xf numFmtId="0" fontId="13" fillId="2" borderId="0" xfId="0" applyFont="1" applyFill="1" applyBorder="1" applyAlignment="1" applyProtection="1">
      <alignment horizontal="center" vertical="center"/>
    </xf>
    <xf numFmtId="0" fontId="17" fillId="2" borderId="0" xfId="0" applyFont="1" applyFill="1" applyBorder="1" applyAlignment="1" applyProtection="1">
      <alignment horizontal="center" vertical="center"/>
    </xf>
    <xf numFmtId="0" fontId="16" fillId="2" borderId="0" xfId="0" applyFont="1" applyFill="1" applyBorder="1" applyAlignment="1" applyProtection="1">
      <alignment horizontal="left" vertical="center"/>
    </xf>
    <xf numFmtId="2" fontId="10" fillId="2" borderId="0" xfId="0" applyNumberFormat="1" applyFont="1" applyFill="1" applyBorder="1" applyAlignment="1" applyProtection="1">
      <alignment horizontal="left" vertical="center"/>
    </xf>
    <xf numFmtId="0" fontId="9" fillId="2" borderId="0" xfId="0" applyFont="1" applyFill="1" applyBorder="1" applyAlignment="1" applyProtection="1">
      <alignment vertical="center"/>
    </xf>
    <xf numFmtId="0" fontId="13" fillId="2" borderId="0" xfId="0" applyFont="1" applyFill="1" applyBorder="1" applyAlignment="1" applyProtection="1">
      <alignment horizontal="left" vertical="top"/>
    </xf>
    <xf numFmtId="0" fontId="0" fillId="2" borderId="0" xfId="0" applyFont="1" applyFill="1" applyAlignment="1" applyProtection="1"/>
    <xf numFmtId="0" fontId="0" fillId="0" borderId="0" xfId="0" applyFont="1" applyFill="1" applyAlignment="1" applyProtection="1"/>
    <xf numFmtId="0" fontId="3" fillId="2" borderId="0" xfId="0" applyFont="1" applyFill="1" applyBorder="1" applyProtection="1"/>
    <xf numFmtId="0" fontId="13" fillId="2" borderId="0" xfId="0" applyNumberFormat="1" applyFont="1" applyFill="1" applyBorder="1" applyAlignment="1" applyProtection="1">
      <alignment vertical="center"/>
    </xf>
    <xf numFmtId="0" fontId="8" fillId="2" borderId="0" xfId="0" applyFont="1" applyFill="1" applyBorder="1" applyAlignment="1" applyProtection="1"/>
    <xf numFmtId="0" fontId="13" fillId="2" borderId="0" xfId="0" applyNumberFormat="1" applyFont="1" applyFill="1" applyBorder="1" applyAlignment="1" applyProtection="1">
      <alignment vertical="top"/>
    </xf>
    <xf numFmtId="0" fontId="9" fillId="2" borderId="0" xfId="0" applyFont="1" applyFill="1" applyBorder="1" applyAlignment="1" applyProtection="1"/>
    <xf numFmtId="49" fontId="13" fillId="2" borderId="0" xfId="0" applyNumberFormat="1" applyFont="1" applyFill="1" applyBorder="1" applyAlignment="1" applyProtection="1"/>
    <xf numFmtId="0" fontId="10" fillId="2" borderId="0" xfId="0" applyFont="1" applyFill="1" applyBorder="1" applyAlignment="1" applyProtection="1"/>
    <xf numFmtId="0" fontId="13" fillId="2" borderId="0" xfId="0" applyNumberFormat="1" applyFont="1" applyFill="1" applyBorder="1" applyAlignment="1" applyProtection="1"/>
    <xf numFmtId="165" fontId="13" fillId="2" borderId="0" xfId="0" applyNumberFormat="1" applyFont="1" applyFill="1" applyBorder="1" applyAlignment="1" applyProtection="1">
      <alignment horizontal="center" vertical="top"/>
    </xf>
    <xf numFmtId="0" fontId="13" fillId="2" borderId="0" xfId="0" applyFont="1" applyFill="1" applyBorder="1" applyAlignment="1" applyProtection="1"/>
    <xf numFmtId="0" fontId="12" fillId="2" borderId="0" xfId="0" applyFont="1" applyFill="1" applyBorder="1" applyAlignment="1" applyProtection="1"/>
    <xf numFmtId="0" fontId="12" fillId="2" borderId="0" xfId="0" applyFont="1" applyFill="1" applyBorder="1" applyProtection="1"/>
    <xf numFmtId="1" fontId="13" fillId="2" borderId="0" xfId="0" applyNumberFormat="1" applyFont="1" applyFill="1" applyBorder="1" applyAlignment="1" applyProtection="1">
      <alignment horizontal="center" vertical="center"/>
    </xf>
    <xf numFmtId="2" fontId="13" fillId="2" borderId="0" xfId="0" applyNumberFormat="1" applyFont="1" applyFill="1" applyBorder="1" applyAlignment="1" applyProtection="1">
      <alignment horizontal="center" vertical="center"/>
    </xf>
    <xf numFmtId="0" fontId="15" fillId="2" borderId="0" xfId="0" applyFont="1" applyFill="1" applyBorder="1" applyAlignment="1" applyProtection="1">
      <alignment horizontal="left" vertical="center"/>
    </xf>
    <xf numFmtId="0" fontId="12" fillId="2" borderId="0" xfId="0" applyFont="1" applyFill="1" applyProtection="1"/>
    <xf numFmtId="165" fontId="13" fillId="2" borderId="0" xfId="0" applyNumberFormat="1" applyFont="1" applyFill="1" applyBorder="1" applyAlignment="1" applyProtection="1">
      <alignment vertical="top"/>
    </xf>
    <xf numFmtId="0" fontId="15" fillId="2" borderId="2" xfId="0" applyFont="1" applyFill="1" applyBorder="1" applyAlignment="1" applyProtection="1">
      <alignment horizontal="center" vertical="center"/>
    </xf>
    <xf numFmtId="0" fontId="12" fillId="2" borderId="0" xfId="0" applyFont="1" applyFill="1" applyAlignment="1" applyProtection="1"/>
    <xf numFmtId="0" fontId="12" fillId="2" borderId="0" xfId="0" applyFont="1" applyFill="1" applyBorder="1" applyAlignment="1" applyProtection="1">
      <alignment vertical="center"/>
    </xf>
    <xf numFmtId="0" fontId="13" fillId="2" borderId="0" xfId="0" applyFont="1" applyFill="1" applyBorder="1" applyAlignment="1" applyProtection="1">
      <alignment wrapText="1"/>
    </xf>
    <xf numFmtId="0" fontId="10" fillId="2" borderId="0" xfId="0" applyFont="1" applyFill="1" applyBorder="1" applyAlignment="1" applyProtection="1">
      <alignment horizontal="left" vertical="center"/>
    </xf>
    <xf numFmtId="0" fontId="13" fillId="2" borderId="0" xfId="0" applyNumberFormat="1" applyFont="1" applyFill="1" applyBorder="1" applyAlignment="1" applyProtection="1">
      <alignment horizontal="left" vertical="center" wrapText="1"/>
    </xf>
    <xf numFmtId="0" fontId="13" fillId="2" borderId="0" xfId="0" applyNumberFormat="1" applyFont="1" applyFill="1" applyBorder="1" applyAlignment="1" applyProtection="1">
      <alignment vertical="center" wrapText="1"/>
    </xf>
    <xf numFmtId="166" fontId="13" fillId="2" borderId="0" xfId="0" applyNumberFormat="1" applyFont="1" applyFill="1" applyBorder="1" applyAlignment="1" applyProtection="1">
      <alignment vertical="center" wrapText="1"/>
    </xf>
    <xf numFmtId="0" fontId="19" fillId="2" borderId="0" xfId="0" applyFont="1" applyFill="1" applyBorder="1" applyAlignment="1" applyProtection="1">
      <alignment vertical="center"/>
    </xf>
    <xf numFmtId="165" fontId="15" fillId="2" borderId="0" xfId="0" applyNumberFormat="1" applyFont="1" applyFill="1" applyBorder="1" applyAlignment="1" applyProtection="1">
      <alignment vertical="top"/>
    </xf>
    <xf numFmtId="0" fontId="13" fillId="2" borderId="1" xfId="0" applyFont="1" applyFill="1" applyBorder="1" applyProtection="1"/>
    <xf numFmtId="0" fontId="13" fillId="2" borderId="1" xfId="0" applyNumberFormat="1" applyFont="1" applyFill="1" applyBorder="1" applyAlignment="1" applyProtection="1">
      <alignment vertical="center" wrapText="1"/>
    </xf>
    <xf numFmtId="0" fontId="13" fillId="2" borderId="1" xfId="0" applyFont="1" applyFill="1" applyBorder="1" applyAlignment="1" applyProtection="1">
      <alignment wrapText="1"/>
    </xf>
    <xf numFmtId="0" fontId="13" fillId="2" borderId="1" xfId="0" applyNumberFormat="1" applyFont="1" applyFill="1" applyBorder="1" applyAlignment="1" applyProtection="1">
      <alignment horizontal="center" vertical="center" wrapText="1"/>
    </xf>
    <xf numFmtId="0" fontId="13" fillId="2" borderId="1" xfId="0" applyFont="1" applyFill="1" applyBorder="1" applyAlignment="1" applyProtection="1">
      <alignment horizontal="center" vertical="center" wrapText="1"/>
    </xf>
    <xf numFmtId="0" fontId="13" fillId="2" borderId="1" xfId="0" applyNumberFormat="1" applyFont="1" applyFill="1" applyBorder="1" applyAlignment="1" applyProtection="1">
      <alignment horizontal="left" vertical="center" wrapText="1"/>
    </xf>
    <xf numFmtId="166" fontId="13" fillId="2" borderId="1" xfId="0" applyNumberFormat="1" applyFont="1" applyFill="1" applyBorder="1" applyAlignment="1" applyProtection="1">
      <alignment vertical="center" wrapText="1"/>
    </xf>
    <xf numFmtId="0" fontId="15" fillId="2" borderId="3" xfId="0" applyFont="1" applyFill="1" applyBorder="1" applyAlignment="1" applyProtection="1">
      <alignment vertical="center"/>
    </xf>
    <xf numFmtId="0" fontId="0" fillId="0" borderId="6" xfId="0" applyFont="1" applyBorder="1" applyAlignment="1" applyProtection="1"/>
    <xf numFmtId="0" fontId="11" fillId="3" borderId="4" xfId="0" applyFont="1" applyFill="1" applyBorder="1" applyAlignment="1" applyProtection="1"/>
    <xf numFmtId="0" fontId="11" fillId="3" borderId="5" xfId="0" applyFont="1" applyFill="1" applyBorder="1" applyProtection="1"/>
    <xf numFmtId="0" fontId="0" fillId="4" borderId="4" xfId="0" applyFont="1" applyFill="1" applyBorder="1" applyAlignment="1" applyProtection="1"/>
    <xf numFmtId="0" fontId="0" fillId="4" borderId="5" xfId="0" applyFont="1" applyFill="1" applyBorder="1" applyProtection="1"/>
    <xf numFmtId="0" fontId="0" fillId="0" borderId="4" xfId="0" applyFont="1" applyBorder="1" applyAlignment="1" applyProtection="1"/>
    <xf numFmtId="0" fontId="0" fillId="0" borderId="6" xfId="0" applyFont="1" applyBorder="1" applyProtection="1"/>
    <xf numFmtId="0" fontId="0" fillId="4" borderId="5" xfId="0" applyFont="1" applyFill="1" applyBorder="1" applyAlignment="1" applyProtection="1"/>
    <xf numFmtId="0" fontId="0" fillId="0" borderId="5" xfId="0" applyFont="1" applyBorder="1" applyAlignment="1" applyProtection="1"/>
    <xf numFmtId="0" fontId="12" fillId="2" borderId="0" xfId="0" applyFont="1" applyFill="1" applyBorder="1" applyAlignment="1" applyProtection="1">
      <alignment horizontal="center"/>
      <protection locked="0"/>
    </xf>
    <xf numFmtId="0" fontId="0" fillId="2" borderId="0" xfId="0" applyFill="1" applyBorder="1" applyProtection="1">
      <protection locked="0"/>
    </xf>
    <xf numFmtId="0" fontId="15" fillId="2" borderId="0" xfId="0" applyFont="1" applyFill="1" applyBorder="1" applyAlignment="1" applyProtection="1">
      <alignment horizontal="right"/>
    </xf>
    <xf numFmtId="0" fontId="13" fillId="2" borderId="0" xfId="0" applyFont="1" applyFill="1" applyBorder="1" applyAlignment="1" applyProtection="1">
      <alignment horizontal="left"/>
    </xf>
    <xf numFmtId="0" fontId="15" fillId="2" borderId="0" xfId="0" applyFont="1" applyFill="1" applyBorder="1" applyAlignment="1" applyProtection="1">
      <alignment horizontal="center" vertical="center"/>
    </xf>
    <xf numFmtId="0" fontId="13" fillId="2" borderId="0" xfId="0" applyNumberFormat="1" applyFont="1" applyFill="1" applyBorder="1" applyAlignment="1" applyProtection="1">
      <alignment horizontal="left" vertical="center" wrapText="1"/>
    </xf>
    <xf numFmtId="49" fontId="13" fillId="2" borderId="0" xfId="0" applyNumberFormat="1" applyFont="1" applyFill="1" applyBorder="1" applyAlignment="1" applyProtection="1">
      <alignment horizontal="center" vertical="center"/>
    </xf>
    <xf numFmtId="164" fontId="13" fillId="2" borderId="0" xfId="0" applyNumberFormat="1" applyFont="1" applyFill="1" applyBorder="1" applyAlignment="1" applyProtection="1">
      <alignment horizontal="center" vertical="center"/>
    </xf>
    <xf numFmtId="0" fontId="13" fillId="2" borderId="0" xfId="0" applyFont="1" applyFill="1" applyBorder="1" applyAlignment="1" applyProtection="1">
      <alignment horizontal="left" vertical="center"/>
    </xf>
    <xf numFmtId="49" fontId="13" fillId="2" borderId="0" xfId="0" applyNumberFormat="1" applyFont="1" applyFill="1" applyBorder="1" applyAlignment="1" applyProtection="1">
      <alignment vertical="center"/>
    </xf>
    <xf numFmtId="164" fontId="13" fillId="2" borderId="0" xfId="0" applyNumberFormat="1" applyFont="1" applyFill="1" applyBorder="1" applyAlignment="1" applyProtection="1">
      <alignment vertical="center"/>
    </xf>
    <xf numFmtId="0" fontId="15" fillId="2" borderId="0" xfId="0" applyFont="1" applyFill="1" applyBorder="1" applyAlignment="1" applyProtection="1"/>
    <xf numFmtId="164" fontId="15" fillId="2" borderId="0" xfId="0" applyNumberFormat="1" applyFont="1" applyFill="1" applyBorder="1" applyAlignment="1" applyProtection="1">
      <alignment vertical="center"/>
    </xf>
    <xf numFmtId="0" fontId="18" fillId="2" borderId="0" xfId="0" applyFont="1" applyFill="1" applyBorder="1" applyAlignment="1" applyProtection="1">
      <alignment vertical="center"/>
    </xf>
    <xf numFmtId="164" fontId="10" fillId="2" borderId="0" xfId="0" applyNumberFormat="1" applyFont="1" applyFill="1" applyBorder="1" applyAlignment="1" applyProtection="1">
      <alignment vertical="center"/>
    </xf>
    <xf numFmtId="0" fontId="13" fillId="2" borderId="0" xfId="0" applyFont="1" applyFill="1" applyBorder="1" applyAlignment="1" applyProtection="1">
      <alignment vertical="center"/>
    </xf>
    <xf numFmtId="165" fontId="13" fillId="2" borderId="0" xfId="0" applyNumberFormat="1" applyFont="1" applyFill="1" applyBorder="1" applyAlignment="1" applyProtection="1">
      <alignment vertical="center"/>
    </xf>
    <xf numFmtId="0" fontId="10" fillId="2" borderId="0" xfId="0" applyFont="1" applyFill="1" applyBorder="1" applyAlignment="1" applyProtection="1">
      <alignment vertical="center"/>
    </xf>
    <xf numFmtId="0" fontId="14" fillId="2" borderId="0" xfId="0" applyFont="1" applyFill="1" applyBorder="1" applyAlignment="1" applyProtection="1"/>
    <xf numFmtId="167" fontId="13" fillId="2" borderId="0" xfId="0" applyNumberFormat="1" applyFont="1" applyFill="1" applyBorder="1" applyAlignment="1" applyProtection="1">
      <alignment vertical="center"/>
    </xf>
    <xf numFmtId="0" fontId="4" fillId="2" borderId="0" xfId="0" applyFont="1" applyFill="1" applyBorder="1" applyAlignment="1" applyProtection="1">
      <alignment vertical="center"/>
    </xf>
    <xf numFmtId="0" fontId="0" fillId="2" borderId="0" xfId="0" applyFill="1" applyAlignment="1" applyProtection="1">
      <alignment vertical="center"/>
    </xf>
    <xf numFmtId="0" fontId="19" fillId="2" borderId="1" xfId="0" applyFont="1" applyFill="1" applyBorder="1" applyAlignment="1" applyProtection="1">
      <alignment horizontal="center" vertical="center"/>
    </xf>
    <xf numFmtId="169" fontId="12" fillId="2" borderId="0" xfId="0" applyNumberFormat="1" applyFont="1" applyFill="1" applyBorder="1" applyAlignment="1" applyProtection="1">
      <alignment horizontal="center" vertical="center"/>
      <protection locked="0"/>
    </xf>
    <xf numFmtId="0" fontId="15" fillId="2" borderId="0" xfId="0" applyFont="1" applyFill="1" applyBorder="1" applyAlignment="1" applyProtection="1">
      <alignment horizontal="center" vertical="center"/>
    </xf>
    <xf numFmtId="0" fontId="15" fillId="2" borderId="0" xfId="0" applyFont="1" applyFill="1" applyBorder="1" applyAlignment="1" applyProtection="1">
      <alignment horizontal="right" vertical="center"/>
    </xf>
    <xf numFmtId="1" fontId="13" fillId="2" borderId="0" xfId="0" applyNumberFormat="1" applyFont="1" applyFill="1" applyBorder="1" applyAlignment="1" applyProtection="1">
      <alignment horizontal="left" vertical="center" wrapText="1"/>
      <protection locked="0"/>
    </xf>
    <xf numFmtId="0" fontId="12" fillId="6" borderId="7" xfId="0" applyFont="1" applyFill="1" applyBorder="1" applyAlignment="1" applyProtection="1">
      <alignment horizontal="center"/>
    </xf>
    <xf numFmtId="165" fontId="7" fillId="2" borderId="7" xfId="0" applyNumberFormat="1" applyFont="1" applyFill="1" applyBorder="1" applyAlignment="1" applyProtection="1">
      <alignment horizontal="center"/>
      <protection locked="0"/>
    </xf>
    <xf numFmtId="0" fontId="12" fillId="6" borderId="8" xfId="0" applyFont="1" applyFill="1" applyBorder="1" applyAlignment="1" applyProtection="1">
      <alignment horizontal="center"/>
    </xf>
    <xf numFmtId="0" fontId="12" fillId="5" borderId="7" xfId="0" applyFont="1" applyFill="1" applyBorder="1" applyAlignment="1" applyProtection="1">
      <alignment horizontal="center"/>
      <protection locked="0"/>
    </xf>
    <xf numFmtId="0" fontId="12" fillId="2" borderId="8" xfId="0" applyFont="1" applyFill="1" applyBorder="1" applyAlignment="1" applyProtection="1">
      <alignment horizontal="center"/>
      <protection locked="0"/>
    </xf>
    <xf numFmtId="0" fontId="12" fillId="2" borderId="9" xfId="0" applyFont="1" applyFill="1" applyBorder="1" applyAlignment="1" applyProtection="1">
      <alignment horizontal="center"/>
      <protection locked="0"/>
    </xf>
    <xf numFmtId="0" fontId="12" fillId="2" borderId="10" xfId="0" applyFont="1" applyFill="1" applyBorder="1" applyAlignment="1" applyProtection="1">
      <alignment horizontal="center"/>
      <protection locked="0"/>
    </xf>
    <xf numFmtId="165" fontId="13" fillId="2" borderId="0" xfId="0" applyNumberFormat="1" applyFont="1" applyFill="1" applyBorder="1" applyAlignment="1" applyProtection="1">
      <alignment horizontal="left" vertical="center"/>
      <protection locked="0"/>
    </xf>
    <xf numFmtId="0" fontId="20" fillId="2" borderId="0" xfId="0" applyFont="1" applyFill="1" applyAlignment="1" applyProtection="1">
      <alignment horizontal="center"/>
    </xf>
    <xf numFmtId="0" fontId="15" fillId="2" borderId="0" xfId="0" applyFont="1" applyFill="1" applyBorder="1" applyAlignment="1" applyProtection="1">
      <alignment horizontal="left" vertical="top" wrapText="1"/>
    </xf>
    <xf numFmtId="0" fontId="20" fillId="2" borderId="0" xfId="0" applyFont="1" applyFill="1" applyAlignment="1" applyProtection="1">
      <alignment horizontal="right"/>
    </xf>
    <xf numFmtId="167" fontId="13" fillId="2" borderId="0" xfId="0" applyNumberFormat="1" applyFont="1" applyFill="1" applyBorder="1" applyAlignment="1" applyProtection="1">
      <alignment horizontal="center" vertical="center"/>
      <protection locked="0"/>
    </xf>
    <xf numFmtId="165" fontId="15" fillId="2" borderId="0" xfId="0" applyNumberFormat="1" applyFont="1" applyFill="1" applyBorder="1" applyAlignment="1" applyProtection="1">
      <alignment horizontal="left" vertical="top"/>
      <protection locked="0"/>
    </xf>
    <xf numFmtId="168" fontId="12" fillId="2" borderId="0" xfId="0" applyNumberFormat="1" applyFont="1" applyFill="1" applyBorder="1" applyAlignment="1" applyProtection="1">
      <alignment horizontal="center" vertical="center"/>
      <protection locked="0"/>
    </xf>
    <xf numFmtId="165" fontId="12" fillId="2" borderId="0" xfId="0" applyNumberFormat="1" applyFont="1" applyFill="1" applyBorder="1" applyAlignment="1" applyProtection="1">
      <alignment horizontal="center" vertical="center"/>
      <protection locked="0"/>
    </xf>
    <xf numFmtId="165" fontId="12" fillId="2" borderId="0" xfId="0" applyNumberFormat="1" applyFont="1" applyFill="1" applyBorder="1" applyAlignment="1" applyProtection="1">
      <alignment horizontal="left" vertical="center"/>
      <protection locked="0"/>
    </xf>
    <xf numFmtId="3" fontId="12" fillId="2" borderId="0" xfId="0" applyNumberFormat="1" applyFont="1" applyFill="1" applyBorder="1" applyAlignment="1" applyProtection="1">
      <alignment horizontal="center" vertical="center"/>
      <protection locked="0"/>
    </xf>
    <xf numFmtId="167" fontId="13" fillId="2" borderId="0" xfId="0" applyNumberFormat="1" applyFont="1" applyFill="1" applyBorder="1" applyAlignment="1" applyProtection="1">
      <alignment horizontal="left" vertical="center"/>
      <protection locked="0"/>
    </xf>
    <xf numFmtId="165" fontId="13" fillId="2" borderId="0" xfId="0" applyNumberFormat="1" applyFont="1" applyFill="1" applyBorder="1" applyAlignment="1" applyProtection="1">
      <alignment horizontal="left" vertical="center"/>
    </xf>
    <xf numFmtId="165" fontId="14" fillId="2" borderId="0" xfId="0" applyNumberFormat="1" applyFont="1" applyFill="1" applyBorder="1" applyAlignment="1" applyProtection="1">
      <alignment horizontal="left"/>
    </xf>
    <xf numFmtId="0" fontId="14" fillId="2" borderId="0" xfId="0" applyNumberFormat="1" applyFont="1" applyFill="1" applyBorder="1" applyAlignment="1" applyProtection="1">
      <alignment horizontal="left"/>
    </xf>
    <xf numFmtId="0" fontId="12" fillId="2" borderId="7" xfId="0" applyFont="1" applyFill="1" applyBorder="1" applyAlignment="1" applyProtection="1">
      <alignment horizontal="center"/>
      <protection locked="0"/>
    </xf>
    <xf numFmtId="165" fontId="12" fillId="2" borderId="7" xfId="0" applyNumberFormat="1" applyFont="1" applyFill="1" applyBorder="1" applyProtection="1">
      <protection locked="0"/>
    </xf>
    <xf numFmtId="165" fontId="12" fillId="2" borderId="7" xfId="0" applyNumberFormat="1" applyFont="1" applyFill="1" applyBorder="1" applyAlignment="1" applyProtection="1">
      <alignment horizontal="center"/>
      <protection locked="0"/>
    </xf>
    <xf numFmtId="165" fontId="12" fillId="2" borderId="0" xfId="0" applyNumberFormat="1" applyFont="1" applyFill="1" applyAlignment="1" applyProtection="1">
      <alignment horizontal="left" vertical="top" wrapText="1"/>
    </xf>
    <xf numFmtId="165" fontId="12" fillId="2" borderId="13" xfId="0" applyNumberFormat="1" applyFont="1" applyFill="1" applyBorder="1" applyAlignment="1" applyProtection="1">
      <alignment horizontal="center"/>
      <protection locked="0"/>
    </xf>
    <xf numFmtId="167" fontId="12" fillId="2" borderId="8" xfId="0" applyNumberFormat="1" applyFont="1" applyFill="1" applyBorder="1" applyAlignment="1" applyProtection="1">
      <alignment horizontal="center"/>
      <protection locked="0"/>
    </xf>
    <xf numFmtId="167" fontId="12" fillId="2" borderId="9" xfId="0" applyNumberFormat="1" applyFont="1" applyFill="1" applyBorder="1" applyAlignment="1" applyProtection="1">
      <alignment horizontal="center"/>
      <protection locked="0"/>
    </xf>
    <xf numFmtId="167" fontId="12" fillId="2" borderId="10" xfId="0" applyNumberFormat="1" applyFont="1" applyFill="1" applyBorder="1" applyAlignment="1" applyProtection="1">
      <alignment horizontal="center"/>
      <protection locked="0"/>
    </xf>
    <xf numFmtId="165" fontId="12" fillId="2" borderId="8" xfId="0" applyNumberFormat="1" applyFont="1" applyFill="1" applyBorder="1" applyAlignment="1" applyProtection="1">
      <alignment horizontal="center"/>
      <protection locked="0"/>
    </xf>
    <xf numFmtId="165" fontId="12" fillId="2" borderId="9" xfId="0" applyNumberFormat="1" applyFont="1" applyFill="1" applyBorder="1" applyAlignment="1" applyProtection="1">
      <alignment horizontal="center"/>
      <protection locked="0"/>
    </xf>
    <xf numFmtId="165" fontId="12" fillId="2" borderId="10" xfId="0" applyNumberFormat="1" applyFont="1" applyFill="1" applyBorder="1" applyAlignment="1" applyProtection="1">
      <alignment horizontal="center"/>
      <protection locked="0"/>
    </xf>
    <xf numFmtId="0" fontId="12" fillId="5" borderId="8" xfId="0" applyFont="1" applyFill="1" applyBorder="1" applyAlignment="1" applyProtection="1">
      <alignment horizontal="center"/>
      <protection locked="0"/>
    </xf>
    <xf numFmtId="0" fontId="12" fillId="5" borderId="9" xfId="0" applyFont="1" applyFill="1" applyBorder="1" applyAlignment="1" applyProtection="1">
      <alignment horizontal="center"/>
      <protection locked="0"/>
    </xf>
    <xf numFmtId="0" fontId="12" fillId="5" borderId="11" xfId="0" applyFont="1" applyFill="1" applyBorder="1" applyAlignment="1" applyProtection="1">
      <alignment horizontal="center"/>
      <protection locked="0"/>
    </xf>
    <xf numFmtId="0" fontId="12" fillId="5" borderId="12" xfId="0" applyFont="1" applyFill="1" applyBorder="1" applyAlignment="1" applyProtection="1">
      <alignment horizontal="center"/>
      <protection locked="0"/>
    </xf>
    <xf numFmtId="0" fontId="5" fillId="2" borderId="3" xfId="0" applyFont="1" applyFill="1" applyBorder="1" applyAlignment="1" applyProtection="1">
      <alignment horizontal="center" vertical="center"/>
    </xf>
    <xf numFmtId="0" fontId="15" fillId="2" borderId="3" xfId="0" applyFont="1" applyFill="1" applyBorder="1" applyAlignment="1" applyProtection="1">
      <alignment horizontal="center" vertical="center"/>
    </xf>
    <xf numFmtId="0" fontId="15" fillId="2" borderId="0" xfId="0" applyFont="1" applyFill="1" applyBorder="1" applyAlignment="1" applyProtection="1">
      <alignment horizontal="right" vertical="top"/>
    </xf>
    <xf numFmtId="165" fontId="13" fillId="2" borderId="0" xfId="0" applyNumberFormat="1" applyFont="1" applyFill="1" applyBorder="1" applyAlignment="1" applyProtection="1">
      <alignment horizontal="center" vertical="top"/>
      <protection locked="0"/>
    </xf>
    <xf numFmtId="0" fontId="13" fillId="2" borderId="0" xfId="0" applyFont="1" applyFill="1" applyBorder="1" applyAlignment="1" applyProtection="1">
      <alignment horizontal="left" vertical="center"/>
    </xf>
    <xf numFmtId="167" fontId="13" fillId="2" borderId="0" xfId="0" applyNumberFormat="1" applyFont="1" applyFill="1" applyBorder="1" applyAlignment="1" applyProtection="1">
      <alignment horizontal="left" vertical="center"/>
    </xf>
    <xf numFmtId="0" fontId="17" fillId="2" borderId="0" xfId="0" applyFont="1" applyFill="1" applyAlignment="1" applyProtection="1">
      <alignment horizontal="right" vertical="center"/>
    </xf>
    <xf numFmtId="0" fontId="17" fillId="2" borderId="0" xfId="0" applyFont="1" applyFill="1" applyAlignment="1" applyProtection="1">
      <alignment horizontal="left" vertical="top" wrapText="1"/>
    </xf>
    <xf numFmtId="0" fontId="15" fillId="2" borderId="3" xfId="0" applyFont="1" applyFill="1" applyBorder="1" applyAlignment="1" applyProtection="1">
      <alignment horizontal="center" vertical="center" wrapText="1"/>
    </xf>
  </cellXfs>
  <cellStyles count="1">
    <cellStyle name="Normal" xfId="0" builtinId="0"/>
  </cellStyles>
  <dxfs count="12">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0" indent="0" justifyLastLine="0" shrinkToFit="0" readingOrder="0"/>
      <protection locked="1" hidden="0"/>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
      <fill>
        <patternFill>
          <bgColor rgb="FFFFFF66"/>
        </patternFill>
      </fill>
    </dxf>
  </dxfs>
  <tableStyles count="0" defaultTableStyle="TableStyleMedium2"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19</xdr:col>
      <xdr:colOff>311727</xdr:colOff>
      <xdr:row>39</xdr:row>
      <xdr:rowOff>294409</xdr:rowOff>
    </xdr:from>
    <xdr:to>
      <xdr:col>32</xdr:col>
      <xdr:colOff>381001</xdr:colOff>
      <xdr:row>45</xdr:row>
      <xdr:rowOff>121227</xdr:rowOff>
    </xdr:to>
    <xdr:sp macro="" textlink="">
      <xdr:nvSpPr>
        <xdr:cNvPr id="2" name="Rounded Rectangle 1"/>
        <xdr:cNvSpPr/>
      </xdr:nvSpPr>
      <xdr:spPr>
        <a:xfrm>
          <a:off x="7949045" y="12971318"/>
          <a:ext cx="4745183" cy="1697182"/>
        </a:xfrm>
        <a:prstGeom prst="roundRect">
          <a:avLst/>
        </a:prstGeom>
        <a:noFill/>
        <a:ln w="38100">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22</xdr:col>
          <xdr:colOff>9525</xdr:colOff>
          <xdr:row>0</xdr:row>
          <xdr:rowOff>266700</xdr:rowOff>
        </xdr:from>
        <xdr:to>
          <xdr:col>32</xdr:col>
          <xdr:colOff>0</xdr:colOff>
          <xdr:row>1</xdr:row>
          <xdr:rowOff>266700</xdr:rowOff>
        </xdr:to>
        <xdr:sp macro="" textlink="">
          <xdr:nvSpPr>
            <xdr:cNvPr id="2049" name="ComboBox23"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285750</xdr:colOff>
          <xdr:row>3</xdr:row>
          <xdr:rowOff>0</xdr:rowOff>
        </xdr:from>
        <xdr:to>
          <xdr:col>32</xdr:col>
          <xdr:colOff>0</xdr:colOff>
          <xdr:row>4</xdr:row>
          <xdr:rowOff>0</xdr:rowOff>
        </xdr:to>
        <xdr:sp macro="" textlink="">
          <xdr:nvSpPr>
            <xdr:cNvPr id="2050" name="ComboBox24"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0</xdr:rowOff>
        </xdr:from>
        <xdr:to>
          <xdr:col>2</xdr:col>
          <xdr:colOff>704850</xdr:colOff>
          <xdr:row>4</xdr:row>
          <xdr:rowOff>0</xdr:rowOff>
        </xdr:to>
        <xdr:sp macro="" textlink="">
          <xdr:nvSpPr>
            <xdr:cNvPr id="2051" name="ComboBox1"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xdr:row>
          <xdr:rowOff>0</xdr:rowOff>
        </xdr:from>
        <xdr:to>
          <xdr:col>26</xdr:col>
          <xdr:colOff>9525</xdr:colOff>
          <xdr:row>4</xdr:row>
          <xdr:rowOff>0</xdr:rowOff>
        </xdr:to>
        <xdr:sp macro="" textlink="">
          <xdr:nvSpPr>
            <xdr:cNvPr id="2052" name="ComboBox2"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3</xdr:col>
          <xdr:colOff>714375</xdr:colOff>
          <xdr:row>6</xdr:row>
          <xdr:rowOff>0</xdr:rowOff>
        </xdr:to>
        <xdr:sp macro="" textlink="">
          <xdr:nvSpPr>
            <xdr:cNvPr id="2053" name="ComboBox3"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_Manifest_Template_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nifest"/>
      <sheetName val="Master BL Instructions"/>
      <sheetName val="SE_Manifest_Template_v11"/>
    </sheetNames>
    <sheetDataSet>
      <sheetData sheetId="0"/>
      <sheetData sheetId="1"/>
      <sheetData sheetId="2" refreshError="1"/>
    </sheetDataSet>
  </externalBook>
</externalLink>
</file>

<file path=xl/tables/table1.xml><?xml version="1.0" encoding="utf-8"?>
<table xmlns="http://schemas.openxmlformats.org/spreadsheetml/2006/main" id="1" name="Office_Loc" displayName="Office_Loc" ref="AN19:AN239" totalsRowShown="0" headerRowDxfId="5" dataDxfId="4">
  <autoFilter ref="AN19:AN239"/>
  <tableColumns count="1">
    <tableColumn id="1" name="[SELECT LOCATION]" dataDxfId="3"/>
  </tableColumns>
  <tableStyleInfo name="TableStyleMedium2" showFirstColumn="0" showLastColumn="0" showRowStripes="1" showColumnStripes="0"/>
</table>
</file>

<file path=xl/tables/table2.xml><?xml version="1.0" encoding="utf-8"?>
<table xmlns="http://schemas.openxmlformats.org/spreadsheetml/2006/main" id="2" name="Office_Addr" displayName="Office_Addr" ref="AO19:AO239" totalsRowShown="0" headerRowDxfId="2" dataDxfId="1">
  <autoFilter ref="AO19:AO239"/>
  <tableColumns count="1">
    <tableColumn id="1" name="Office_Add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table" Target="../tables/table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W239"/>
  <sheetViews>
    <sheetView tabSelected="1" topLeftCell="B1" zoomScaleNormal="100" workbookViewId="0">
      <selection activeCell="B2" sqref="B2:I2"/>
    </sheetView>
  </sheetViews>
  <sheetFormatPr defaultRowHeight="15"/>
  <cols>
    <col min="1" max="1" width="5.140625" style="1" hidden="1" customWidth="1"/>
    <col min="2" max="2" width="8.85546875" style="1" customWidth="1"/>
    <col min="3" max="4" width="10.7109375" style="1" customWidth="1"/>
    <col min="5" max="5" width="13.28515625" style="1" customWidth="1"/>
    <col min="6" max="7" width="4.5703125" style="1" customWidth="1"/>
    <col min="8" max="8" width="5.28515625" style="1" customWidth="1"/>
    <col min="9" max="9" width="4.28515625" style="1" customWidth="1"/>
    <col min="10" max="10" width="11.140625" style="1" customWidth="1"/>
    <col min="11" max="11" width="4.5703125" style="1" customWidth="1"/>
    <col min="12" max="12" width="4.28515625" style="1" customWidth="1"/>
    <col min="13" max="13" width="4.7109375" style="1" customWidth="1"/>
    <col min="14" max="14" width="6.5703125" style="1" customWidth="1"/>
    <col min="15" max="18" width="4.7109375" style="1" customWidth="1"/>
    <col min="19" max="19" width="4.5703125" style="1" customWidth="1"/>
    <col min="20" max="20" width="6.7109375" style="1" customWidth="1"/>
    <col min="21" max="21" width="6.42578125" style="1" customWidth="1"/>
    <col min="22" max="22" width="3.7109375" style="1" customWidth="1"/>
    <col min="23" max="23" width="6.42578125" style="1" customWidth="1"/>
    <col min="24" max="24" width="4.5703125" style="1" customWidth="1"/>
    <col min="25" max="25" width="3" style="1" customWidth="1"/>
    <col min="26" max="26" width="4.5703125" style="1" customWidth="1"/>
    <col min="27" max="27" width="6.7109375" style="1" customWidth="1"/>
    <col min="28" max="28" width="4.5703125" style="1" customWidth="1"/>
    <col min="29" max="29" width="6.7109375" style="1" customWidth="1"/>
    <col min="30" max="30" width="3.5703125" style="1" customWidth="1"/>
    <col min="31" max="31" width="6.7109375" style="1" customWidth="1"/>
    <col min="32" max="32" width="5.7109375" style="1" customWidth="1"/>
    <col min="33" max="33" width="14.5703125" style="1" customWidth="1"/>
    <col min="34" max="34" width="7.7109375" style="1" customWidth="1"/>
    <col min="35" max="35" width="11.5703125" style="1" customWidth="1"/>
    <col min="36" max="37" width="8.7109375" style="1" customWidth="1"/>
    <col min="38" max="38" width="16.85546875" style="1" hidden="1" customWidth="1"/>
    <col min="39" max="39" width="9.140625" style="1" hidden="1" customWidth="1"/>
    <col min="40" max="40" width="24.28515625" style="1" hidden="1" customWidth="1"/>
    <col min="41" max="41" width="27" style="1" hidden="1" customWidth="1"/>
    <col min="42" max="42" width="32.7109375" style="1" hidden="1" customWidth="1"/>
    <col min="43" max="43" width="17.5703125" style="1" hidden="1" customWidth="1"/>
    <col min="44" max="44" width="3" style="1" hidden="1" customWidth="1"/>
    <col min="45" max="45" width="5.5703125" style="1" hidden="1" customWidth="1"/>
    <col min="46" max="46" width="5.140625" style="1" hidden="1" customWidth="1"/>
    <col min="47" max="49" width="9.140625" style="1" hidden="1" customWidth="1"/>
    <col min="50" max="16384" width="9.140625" style="1"/>
  </cols>
  <sheetData>
    <row r="1" spans="1:46" s="12" customFormat="1" ht="21">
      <c r="B1" s="102" t="s">
        <v>305</v>
      </c>
      <c r="C1" s="102"/>
      <c r="D1" s="102"/>
      <c r="E1" s="102"/>
      <c r="F1" s="102"/>
      <c r="G1" s="102"/>
      <c r="H1" s="102"/>
      <c r="I1" s="102"/>
      <c r="J1" s="102" t="s">
        <v>252</v>
      </c>
      <c r="K1" s="102"/>
      <c r="L1" s="102"/>
      <c r="M1" s="102"/>
      <c r="N1" s="102"/>
      <c r="O1" s="102"/>
      <c r="P1" s="102"/>
      <c r="Q1" s="102"/>
      <c r="R1" s="102"/>
      <c r="S1" s="102"/>
      <c r="T1" s="102"/>
      <c r="U1" s="102"/>
      <c r="V1" s="102"/>
      <c r="W1" s="102" t="str">
        <f>IF(W2="[SELECT LOCATION]","Select Branch Location Below:", "Selected Location:")</f>
        <v>Select Branch Location Below:</v>
      </c>
      <c r="X1" s="102"/>
      <c r="Y1" s="102"/>
      <c r="Z1" s="102"/>
      <c r="AA1" s="102"/>
      <c r="AB1" s="102"/>
      <c r="AC1" s="102"/>
      <c r="AD1" s="102"/>
      <c r="AE1" s="102"/>
      <c r="AF1" s="102"/>
      <c r="AT1" s="13"/>
    </row>
    <row r="2" spans="1:46" s="12" customFormat="1" ht="21">
      <c r="B2" s="123"/>
      <c r="C2" s="123"/>
      <c r="D2" s="123"/>
      <c r="E2" s="123"/>
      <c r="F2" s="123"/>
      <c r="G2" s="123"/>
      <c r="H2" s="123"/>
      <c r="I2" s="123"/>
      <c r="J2" s="124"/>
      <c r="K2" s="124"/>
      <c r="L2" s="124"/>
      <c r="M2" s="124"/>
      <c r="N2" s="124"/>
      <c r="O2" s="124"/>
      <c r="P2" s="124"/>
      <c r="Q2" s="124"/>
      <c r="R2" s="124"/>
      <c r="S2" s="124"/>
      <c r="T2" s="124"/>
      <c r="U2" s="124"/>
      <c r="V2" s="124"/>
      <c r="W2" s="125" t="s">
        <v>15</v>
      </c>
      <c r="X2" s="125"/>
      <c r="Y2" s="125"/>
      <c r="Z2" s="125"/>
      <c r="AA2" s="125"/>
      <c r="AB2" s="125"/>
      <c r="AC2" s="125"/>
      <c r="AD2" s="125"/>
      <c r="AE2" s="125"/>
      <c r="AF2" s="125"/>
    </row>
    <row r="3" spans="1:46" s="12" customFormat="1" ht="21">
      <c r="B3" s="102" t="s">
        <v>271</v>
      </c>
      <c r="C3" s="102"/>
      <c r="D3" s="102" t="s">
        <v>307</v>
      </c>
      <c r="E3" s="102"/>
      <c r="F3" s="102"/>
      <c r="G3" s="102" t="s">
        <v>306</v>
      </c>
      <c r="H3" s="102"/>
      <c r="I3" s="102"/>
      <c r="J3" s="102"/>
      <c r="K3" s="102"/>
      <c r="L3" s="102"/>
      <c r="M3" s="102" t="s">
        <v>276</v>
      </c>
      <c r="N3" s="102"/>
      <c r="O3" s="102"/>
      <c r="P3" s="102"/>
      <c r="Q3" s="102"/>
      <c r="R3" s="102"/>
      <c r="S3" s="102"/>
      <c r="T3" s="102"/>
      <c r="U3" s="102" t="s">
        <v>272</v>
      </c>
      <c r="V3" s="102"/>
      <c r="W3" s="102"/>
      <c r="X3" s="102"/>
      <c r="Y3" s="102"/>
      <c r="Z3" s="102"/>
      <c r="AA3" s="102" t="s">
        <v>12</v>
      </c>
      <c r="AB3" s="102"/>
      <c r="AC3" s="102"/>
      <c r="AD3" s="102"/>
      <c r="AE3" s="102"/>
      <c r="AF3" s="102"/>
    </row>
    <row r="4" spans="1:46" s="12" customFormat="1" ht="21">
      <c r="B4" s="105" t="s">
        <v>304</v>
      </c>
      <c r="C4" s="105"/>
      <c r="D4" s="128"/>
      <c r="E4" s="129"/>
      <c r="F4" s="130"/>
      <c r="G4" s="131"/>
      <c r="H4" s="132"/>
      <c r="I4" s="132"/>
      <c r="J4" s="132"/>
      <c r="K4" s="132"/>
      <c r="L4" s="133"/>
      <c r="M4" s="125"/>
      <c r="N4" s="125"/>
      <c r="O4" s="125"/>
      <c r="P4" s="125"/>
      <c r="Q4" s="125"/>
      <c r="R4" s="125"/>
      <c r="S4" s="125"/>
      <c r="T4" s="125"/>
      <c r="U4" s="134" t="s">
        <v>304</v>
      </c>
      <c r="V4" s="135"/>
      <c r="W4" s="135"/>
      <c r="X4" s="135"/>
      <c r="Y4" s="136"/>
      <c r="Z4" s="137"/>
      <c r="AA4" s="127" t="s">
        <v>304</v>
      </c>
      <c r="AB4" s="127"/>
      <c r="AC4" s="127"/>
      <c r="AD4" s="127"/>
      <c r="AE4" s="127"/>
      <c r="AF4" s="127"/>
    </row>
    <row r="5" spans="1:46" s="12" customFormat="1" ht="21">
      <c r="B5" s="102" t="s">
        <v>291</v>
      </c>
      <c r="C5" s="102"/>
      <c r="D5" s="102"/>
      <c r="E5" s="102" t="s">
        <v>290</v>
      </c>
      <c r="F5" s="102"/>
      <c r="G5" s="102"/>
      <c r="H5" s="102"/>
      <c r="I5" s="102"/>
      <c r="J5" s="102"/>
      <c r="K5" s="102"/>
      <c r="L5" s="102"/>
      <c r="M5" s="102"/>
      <c r="N5" s="102"/>
      <c r="O5" s="102" t="s">
        <v>292</v>
      </c>
      <c r="P5" s="102"/>
      <c r="Q5" s="102"/>
      <c r="R5" s="102"/>
      <c r="S5" s="102"/>
      <c r="T5" s="102"/>
      <c r="U5" s="102"/>
      <c r="V5" s="102"/>
      <c r="W5" s="102"/>
      <c r="X5" s="104"/>
      <c r="Y5" s="102" t="s">
        <v>300</v>
      </c>
      <c r="Z5" s="102"/>
      <c r="AA5" s="102"/>
      <c r="AB5" s="102"/>
      <c r="AC5" s="102"/>
      <c r="AD5" s="102"/>
      <c r="AE5" s="102"/>
      <c r="AF5" s="102"/>
      <c r="AG5" s="41"/>
      <c r="AH5" s="41"/>
      <c r="AI5" s="49"/>
      <c r="AJ5" s="49"/>
      <c r="AK5" s="49"/>
    </row>
    <row r="6" spans="1:46" s="12" customFormat="1" ht="21">
      <c r="A6" s="17"/>
      <c r="B6" s="105" t="s">
        <v>304</v>
      </c>
      <c r="C6" s="105"/>
      <c r="D6" s="105"/>
      <c r="E6" s="106"/>
      <c r="F6" s="107"/>
      <c r="G6" s="107"/>
      <c r="H6" s="107"/>
      <c r="I6" s="107"/>
      <c r="J6" s="107"/>
      <c r="K6" s="107"/>
      <c r="L6" s="107"/>
      <c r="M6" s="107"/>
      <c r="N6" s="108"/>
      <c r="O6" s="106"/>
      <c r="P6" s="107"/>
      <c r="Q6" s="107"/>
      <c r="R6" s="107"/>
      <c r="S6" s="107"/>
      <c r="T6" s="107"/>
      <c r="U6" s="107"/>
      <c r="V6" s="107"/>
      <c r="W6" s="107"/>
      <c r="X6" s="108"/>
      <c r="Y6" s="103"/>
      <c r="Z6" s="103"/>
      <c r="AA6" s="103"/>
      <c r="AB6" s="103"/>
      <c r="AC6" s="103"/>
      <c r="AD6" s="103"/>
      <c r="AE6" s="103"/>
      <c r="AF6" s="103"/>
      <c r="AG6" s="46"/>
      <c r="AH6" s="46"/>
      <c r="AI6" s="46"/>
      <c r="AJ6" s="46"/>
      <c r="AK6" s="46"/>
    </row>
    <row r="7" spans="1:46" s="12" customFormat="1" ht="21">
      <c r="AL7" s="18"/>
    </row>
    <row r="8" spans="1:46" s="12" customFormat="1" ht="36.950000000000003" customHeight="1">
      <c r="B8" s="126" t="str">
        <f>_xlfn.IFNA(IF(W2="COMPANY LOCATION","",VLOOKUP(W2,AN20:AO239,2,FALSE)),"")</f>
        <v/>
      </c>
      <c r="C8" s="126"/>
      <c r="D8" s="126"/>
      <c r="E8" s="126"/>
      <c r="F8" s="126"/>
      <c r="G8" s="126"/>
      <c r="H8" s="126"/>
      <c r="I8" s="126"/>
      <c r="J8" s="126"/>
      <c r="K8" s="126"/>
      <c r="L8" s="126"/>
      <c r="M8" s="126"/>
      <c r="N8" s="126"/>
      <c r="O8" s="126"/>
      <c r="P8" s="126"/>
      <c r="Q8" s="126"/>
      <c r="R8" s="126"/>
      <c r="S8" s="126"/>
      <c r="T8" s="126"/>
      <c r="AC8" s="18"/>
      <c r="AD8" s="18"/>
      <c r="AE8" s="18"/>
      <c r="AF8" s="18"/>
      <c r="AG8" s="18"/>
      <c r="AH8" s="18"/>
      <c r="AI8" s="18"/>
      <c r="AJ8" s="18"/>
      <c r="AK8" s="18"/>
      <c r="AL8" s="18"/>
    </row>
    <row r="9" spans="1:46" ht="36.950000000000003" customHeight="1">
      <c r="B9" s="126"/>
      <c r="C9" s="126"/>
      <c r="D9" s="126"/>
      <c r="E9" s="126"/>
      <c r="F9" s="126"/>
      <c r="G9" s="126"/>
      <c r="H9" s="126"/>
      <c r="I9" s="126"/>
      <c r="J9" s="126"/>
      <c r="K9" s="126"/>
      <c r="L9" s="126"/>
      <c r="M9" s="126"/>
      <c r="N9" s="126"/>
      <c r="O9" s="126"/>
      <c r="P9" s="126"/>
      <c r="Q9" s="126"/>
      <c r="R9" s="126"/>
      <c r="S9" s="126"/>
      <c r="T9" s="126"/>
    </row>
    <row r="10" spans="1:46" ht="36.950000000000003" customHeight="1">
      <c r="B10" s="126"/>
      <c r="C10" s="126"/>
      <c r="D10" s="126"/>
      <c r="E10" s="126"/>
      <c r="F10" s="126"/>
      <c r="G10" s="126"/>
      <c r="H10" s="126"/>
      <c r="I10" s="126"/>
      <c r="J10" s="126"/>
      <c r="K10" s="126"/>
      <c r="L10" s="126"/>
      <c r="M10" s="126"/>
      <c r="N10" s="126"/>
      <c r="O10" s="126"/>
      <c r="P10" s="126"/>
      <c r="Q10" s="126"/>
      <c r="R10" s="126"/>
      <c r="S10" s="126"/>
      <c r="T10" s="126"/>
    </row>
    <row r="11" spans="1:46" ht="36.950000000000003" customHeight="1">
      <c r="B11" s="126"/>
      <c r="C11" s="126"/>
      <c r="D11" s="126"/>
      <c r="E11" s="126"/>
      <c r="F11" s="126"/>
      <c r="G11" s="126"/>
      <c r="H11" s="126"/>
      <c r="I11" s="126"/>
      <c r="J11" s="126"/>
      <c r="K11" s="126"/>
      <c r="L11" s="126"/>
      <c r="M11" s="126"/>
      <c r="N11" s="126"/>
      <c r="O11" s="126"/>
      <c r="P11" s="126"/>
      <c r="Q11" s="126"/>
      <c r="R11" s="126"/>
      <c r="S11" s="126"/>
      <c r="T11" s="126"/>
    </row>
    <row r="12" spans="1:46" ht="36.950000000000003" customHeight="1">
      <c r="B12" s="126"/>
      <c r="C12" s="126"/>
      <c r="D12" s="126"/>
      <c r="E12" s="126"/>
      <c r="F12" s="126"/>
      <c r="G12" s="126"/>
      <c r="H12" s="126"/>
      <c r="I12" s="126"/>
      <c r="J12" s="126"/>
      <c r="K12" s="126"/>
      <c r="L12" s="126"/>
      <c r="M12" s="126"/>
      <c r="N12" s="126"/>
      <c r="O12" s="126"/>
      <c r="P12" s="126"/>
      <c r="Q12" s="126"/>
      <c r="R12" s="126"/>
      <c r="S12" s="126"/>
      <c r="T12" s="126"/>
    </row>
    <row r="13" spans="1:46" ht="33" customHeight="1" thickBot="1">
      <c r="B13" s="97" t="s">
        <v>283</v>
      </c>
      <c r="C13" s="97"/>
      <c r="D13" s="97"/>
      <c r="E13" s="97"/>
      <c r="F13" s="97"/>
      <c r="G13" s="97"/>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c r="AH13" s="97"/>
      <c r="AI13" s="97"/>
      <c r="AJ13" s="56"/>
      <c r="AK13" s="56"/>
      <c r="AL13" s="56"/>
      <c r="AN13" s="12" t="s">
        <v>4</v>
      </c>
      <c r="AO13" s="12" t="s">
        <v>10</v>
      </c>
      <c r="AP13" s="12" t="s">
        <v>261</v>
      </c>
      <c r="AQ13" s="12" t="s">
        <v>14</v>
      </c>
      <c r="AR13" s="12" t="s">
        <v>2</v>
      </c>
      <c r="AS13" s="12" t="s">
        <v>0</v>
      </c>
      <c r="AT13" s="12" t="s">
        <v>6</v>
      </c>
    </row>
    <row r="14" spans="1:46" ht="24.95" customHeight="1" thickBot="1">
      <c r="B14" s="138" t="str">
        <f>"For information, please contact "&amp;IF(B2="","Customer Service",B2)&amp;" or Email "&amp;IF(J2="","us",J2)</f>
        <v>For information, please contact Customer Service or Email us</v>
      </c>
      <c r="C14" s="138"/>
      <c r="D14" s="138"/>
      <c r="E14" s="138"/>
      <c r="F14" s="138"/>
      <c r="G14" s="138"/>
      <c r="H14" s="138"/>
      <c r="I14" s="138"/>
      <c r="J14" s="138"/>
      <c r="K14" s="138"/>
      <c r="L14" s="138"/>
      <c r="M14" s="138"/>
      <c r="N14" s="138"/>
      <c r="O14" s="138"/>
      <c r="P14" s="138"/>
      <c r="Q14" s="138"/>
      <c r="R14" s="138"/>
      <c r="S14" s="138"/>
      <c r="T14" s="138"/>
      <c r="U14" s="138"/>
      <c r="V14" s="138"/>
      <c r="W14" s="138"/>
      <c r="X14" s="138"/>
      <c r="Y14" s="138"/>
      <c r="Z14" s="138"/>
      <c r="AA14" s="138"/>
      <c r="AB14" s="138"/>
      <c r="AC14" s="138"/>
      <c r="AD14" s="138"/>
      <c r="AE14" s="138"/>
      <c r="AF14" s="138"/>
      <c r="AG14" s="138"/>
      <c r="AH14" s="138"/>
      <c r="AI14" s="138"/>
      <c r="AJ14" s="7"/>
      <c r="AK14" s="7"/>
      <c r="AL14" s="7"/>
      <c r="AN14" s="12" t="s">
        <v>5</v>
      </c>
      <c r="AO14" s="12" t="s">
        <v>11</v>
      </c>
      <c r="AP14" s="12" t="s">
        <v>262</v>
      </c>
      <c r="AQ14" s="12" t="s">
        <v>13</v>
      </c>
      <c r="AR14" s="12" t="s">
        <v>3</v>
      </c>
      <c r="AS14" s="12" t="s">
        <v>1</v>
      </c>
      <c r="AT14" s="12" t="s">
        <v>7</v>
      </c>
    </row>
    <row r="15" spans="1:46" ht="24.95" customHeight="1">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7"/>
      <c r="AJ15" s="7"/>
      <c r="AK15" s="7"/>
      <c r="AL15" s="7"/>
      <c r="AN15" s="12"/>
      <c r="AO15" s="12"/>
      <c r="AP15" s="12"/>
      <c r="AQ15" s="12"/>
      <c r="AR15" s="12"/>
      <c r="AS15" s="12"/>
      <c r="AT15" s="12" t="s">
        <v>8</v>
      </c>
    </row>
    <row r="16" spans="1:46" ht="24.95" customHeight="1">
      <c r="A16" s="8"/>
      <c r="B16" s="100" t="s">
        <v>253</v>
      </c>
      <c r="C16" s="100"/>
      <c r="D16" s="100"/>
      <c r="E16" s="109"/>
      <c r="F16" s="109"/>
      <c r="G16" s="109"/>
      <c r="H16" s="109"/>
      <c r="I16" s="109"/>
      <c r="J16" s="109"/>
      <c r="K16" s="109"/>
      <c r="L16" s="109"/>
      <c r="M16" s="109"/>
      <c r="N16" s="109"/>
      <c r="O16" s="109"/>
      <c r="P16" s="109"/>
      <c r="Q16" s="109"/>
      <c r="R16" s="109"/>
      <c r="S16" s="2"/>
      <c r="T16" s="100" t="s">
        <v>281</v>
      </c>
      <c r="U16" s="100"/>
      <c r="V16" s="100"/>
      <c r="W16" s="100"/>
      <c r="X16" s="100"/>
      <c r="Y16" s="119"/>
      <c r="Z16" s="119"/>
      <c r="AA16" s="119"/>
      <c r="AB16" s="119"/>
      <c r="AC16" s="119"/>
      <c r="AD16" s="119"/>
      <c r="AE16" s="119"/>
      <c r="AF16" s="119"/>
      <c r="AG16" s="119"/>
      <c r="AH16" s="119"/>
      <c r="AI16" s="31"/>
      <c r="AJ16" s="31"/>
      <c r="AK16" s="31"/>
      <c r="AL16" s="3"/>
      <c r="AM16" s="8"/>
      <c r="AN16" s="12"/>
      <c r="AO16" s="12"/>
      <c r="AP16" s="12"/>
      <c r="AQ16" s="12"/>
      <c r="AR16" s="12"/>
      <c r="AS16" s="12"/>
      <c r="AT16" s="12" t="s">
        <v>9</v>
      </c>
    </row>
    <row r="17" spans="1:46" ht="24.95" customHeight="1">
      <c r="A17" s="8"/>
      <c r="B17" s="95"/>
      <c r="C17" s="54"/>
      <c r="D17" s="54"/>
      <c r="E17" s="109"/>
      <c r="F17" s="109"/>
      <c r="G17" s="109"/>
      <c r="H17" s="109"/>
      <c r="I17" s="109"/>
      <c r="J17" s="109"/>
      <c r="K17" s="109"/>
      <c r="L17" s="109"/>
      <c r="M17" s="109"/>
      <c r="N17" s="109"/>
      <c r="O17" s="109"/>
      <c r="P17" s="109"/>
      <c r="Q17" s="109"/>
      <c r="R17" s="109"/>
      <c r="S17" s="2"/>
      <c r="T17" s="100" t="s">
        <v>254</v>
      </c>
      <c r="U17" s="100"/>
      <c r="V17" s="100"/>
      <c r="W17" s="100"/>
      <c r="X17" s="100"/>
      <c r="Y17" s="109"/>
      <c r="Z17" s="109"/>
      <c r="AA17" s="109"/>
      <c r="AB17" s="109"/>
      <c r="AC17" s="109"/>
      <c r="AD17" s="109"/>
      <c r="AE17" s="109"/>
      <c r="AF17" s="109"/>
      <c r="AG17" s="109"/>
      <c r="AH17" s="109"/>
      <c r="AI17" s="4"/>
      <c r="AJ17" s="4"/>
      <c r="AK17" s="4"/>
      <c r="AL17" s="4"/>
      <c r="AM17" s="8"/>
      <c r="AO17" s="12"/>
      <c r="AP17" s="12"/>
      <c r="AQ17" s="12"/>
      <c r="AR17" s="12"/>
      <c r="AS17" s="12"/>
      <c r="AT17" s="12"/>
    </row>
    <row r="18" spans="1:46" ht="24.95" customHeight="1">
      <c r="A18" s="10"/>
      <c r="B18" s="95"/>
      <c r="C18" s="54"/>
      <c r="D18" s="54"/>
      <c r="E18" s="109"/>
      <c r="F18" s="109"/>
      <c r="G18" s="109"/>
      <c r="H18" s="109"/>
      <c r="I18" s="109"/>
      <c r="J18" s="109"/>
      <c r="K18" s="109"/>
      <c r="L18" s="109"/>
      <c r="M18" s="109"/>
      <c r="N18" s="109"/>
      <c r="O18" s="109"/>
      <c r="P18" s="109"/>
      <c r="Q18" s="109"/>
      <c r="R18" s="109"/>
      <c r="S18" s="2"/>
      <c r="T18" s="100" t="s">
        <v>282</v>
      </c>
      <c r="U18" s="100"/>
      <c r="V18" s="100"/>
      <c r="W18" s="100"/>
      <c r="X18" s="100"/>
      <c r="Y18" s="109"/>
      <c r="Z18" s="109"/>
      <c r="AA18" s="109"/>
      <c r="AB18" s="109"/>
      <c r="AC18" s="109"/>
      <c r="AD18" s="109"/>
      <c r="AE18" s="109"/>
      <c r="AF18" s="109"/>
      <c r="AG18" s="109"/>
      <c r="AH18" s="109"/>
      <c r="AI18" s="4"/>
      <c r="AJ18" s="4"/>
      <c r="AK18" s="4"/>
      <c r="AL18" s="4"/>
      <c r="AM18" s="8"/>
      <c r="AN18" s="29" t="s">
        <v>15</v>
      </c>
      <c r="AO18" s="29"/>
      <c r="AP18" s="29" t="s">
        <v>16</v>
      </c>
      <c r="AR18" s="12"/>
      <c r="AS18" s="12"/>
      <c r="AT18" s="12"/>
    </row>
    <row r="19" spans="1:46" ht="24.95" customHeight="1">
      <c r="A19" s="8"/>
      <c r="B19" s="95"/>
      <c r="C19" s="54"/>
      <c r="D19" s="54"/>
      <c r="E19" s="109"/>
      <c r="F19" s="109"/>
      <c r="G19" s="109"/>
      <c r="H19" s="109"/>
      <c r="I19" s="109"/>
      <c r="J19" s="109"/>
      <c r="K19" s="109"/>
      <c r="L19" s="109"/>
      <c r="M19" s="109"/>
      <c r="N19" s="109"/>
      <c r="O19" s="109"/>
      <c r="P19" s="109"/>
      <c r="Q19" s="109"/>
      <c r="R19" s="109"/>
      <c r="S19" s="2"/>
      <c r="T19" s="100" t="s">
        <v>284</v>
      </c>
      <c r="U19" s="100"/>
      <c r="V19" s="100"/>
      <c r="W19" s="100"/>
      <c r="X19" s="100"/>
      <c r="Y19" s="109"/>
      <c r="Z19" s="109"/>
      <c r="AA19" s="109"/>
      <c r="AB19" s="109"/>
      <c r="AC19" s="109"/>
      <c r="AD19" s="109"/>
      <c r="AE19" s="109"/>
      <c r="AF19" s="109"/>
      <c r="AG19" s="109"/>
      <c r="AH19" s="109"/>
      <c r="AI19" s="32"/>
      <c r="AJ19" s="32"/>
      <c r="AK19" s="32"/>
      <c r="AL19" s="2"/>
      <c r="AM19" s="8"/>
      <c r="AN19" s="30" t="s">
        <v>15</v>
      </c>
      <c r="AO19" s="30" t="s">
        <v>17</v>
      </c>
      <c r="AP19" s="67"/>
      <c r="AQ19" s="68"/>
      <c r="AR19" s="12"/>
      <c r="AS19" s="12"/>
      <c r="AT19" s="12"/>
    </row>
    <row r="20" spans="1:46" ht="24.95" customHeight="1">
      <c r="A20" s="8"/>
      <c r="B20" s="95"/>
      <c r="C20" s="54"/>
      <c r="D20" s="54"/>
      <c r="E20" s="109"/>
      <c r="F20" s="109"/>
      <c r="G20" s="109"/>
      <c r="H20" s="109"/>
      <c r="I20" s="109"/>
      <c r="J20" s="109"/>
      <c r="K20" s="109"/>
      <c r="L20" s="109"/>
      <c r="M20" s="109"/>
      <c r="N20" s="109"/>
      <c r="O20" s="109"/>
      <c r="P20" s="109"/>
      <c r="Q20" s="109"/>
      <c r="R20" s="109"/>
      <c r="S20" s="2"/>
      <c r="T20" s="100" t="s">
        <v>285</v>
      </c>
      <c r="U20" s="100"/>
      <c r="V20" s="100"/>
      <c r="W20" s="100"/>
      <c r="X20" s="100"/>
      <c r="Y20" s="109"/>
      <c r="Z20" s="109"/>
      <c r="AA20" s="109"/>
      <c r="AB20" s="109"/>
      <c r="AC20" s="109"/>
      <c r="AD20" s="109"/>
      <c r="AE20" s="109"/>
      <c r="AF20" s="109"/>
      <c r="AG20" s="109"/>
      <c r="AH20" s="109"/>
      <c r="AI20" s="32"/>
      <c r="AJ20" s="32"/>
      <c r="AK20" s="32"/>
      <c r="AL20" s="3"/>
      <c r="AM20" s="8"/>
      <c r="AN20" s="30" t="s">
        <v>18</v>
      </c>
      <c r="AO20" s="30" t="s">
        <v>309</v>
      </c>
      <c r="AP20" s="69" t="s">
        <v>19</v>
      </c>
      <c r="AQ20" s="70" t="s">
        <v>277</v>
      </c>
      <c r="AR20" s="12" t="s">
        <v>274</v>
      </c>
      <c r="AS20" s="12"/>
      <c r="AT20" s="12"/>
    </row>
    <row r="21" spans="1:46" ht="24.95" customHeight="1">
      <c r="A21" s="8"/>
      <c r="B21" s="95"/>
      <c r="C21" s="54"/>
      <c r="D21" s="54"/>
      <c r="E21" s="54"/>
      <c r="F21" s="54"/>
      <c r="G21" s="54"/>
      <c r="H21" s="54"/>
      <c r="I21" s="54"/>
      <c r="J21" s="54"/>
      <c r="K21" s="54"/>
      <c r="L21" s="54"/>
      <c r="M21" s="54"/>
      <c r="N21" s="54"/>
      <c r="O21" s="54"/>
      <c r="P21" s="54"/>
      <c r="Q21" s="54"/>
      <c r="R21" s="54"/>
      <c r="S21" s="2"/>
      <c r="T21" s="100" t="s">
        <v>286</v>
      </c>
      <c r="U21" s="100"/>
      <c r="V21" s="100"/>
      <c r="W21" s="100"/>
      <c r="X21" s="100"/>
      <c r="Y21" s="109"/>
      <c r="Z21" s="109"/>
      <c r="AA21" s="109"/>
      <c r="AB21" s="109"/>
      <c r="AC21" s="109"/>
      <c r="AD21" s="109"/>
      <c r="AE21" s="109"/>
      <c r="AF21" s="109"/>
      <c r="AG21" s="109"/>
      <c r="AH21" s="109"/>
      <c r="AI21" s="32"/>
      <c r="AJ21" s="32"/>
      <c r="AK21" s="32"/>
      <c r="AL21" s="3"/>
      <c r="AM21" s="8"/>
      <c r="AN21" s="30" t="s">
        <v>20</v>
      </c>
      <c r="AO21" s="30" t="s">
        <v>310</v>
      </c>
      <c r="AP21" s="71" t="s">
        <v>21</v>
      </c>
      <c r="AQ21" s="72" t="s">
        <v>278</v>
      </c>
      <c r="AR21" s="12" t="s">
        <v>275</v>
      </c>
      <c r="AS21" s="12"/>
      <c r="AT21" s="12"/>
    </row>
    <row r="22" spans="1:46" ht="24.95" customHeight="1">
      <c r="A22" s="8"/>
      <c r="B22" s="96"/>
      <c r="C22" s="96"/>
      <c r="D22" s="96"/>
      <c r="E22" s="96"/>
      <c r="F22" s="96"/>
      <c r="G22" s="96"/>
      <c r="H22" s="96"/>
      <c r="I22" s="96"/>
      <c r="J22" s="96"/>
      <c r="K22" s="96"/>
      <c r="L22" s="96"/>
      <c r="M22" s="96"/>
      <c r="N22" s="96"/>
      <c r="O22" s="96"/>
      <c r="P22" s="96"/>
      <c r="Q22" s="96"/>
      <c r="R22" s="96"/>
      <c r="S22" s="33"/>
      <c r="AI22" s="4"/>
      <c r="AJ22" s="4"/>
      <c r="AK22" s="4"/>
      <c r="AL22" s="3"/>
      <c r="AM22" s="8"/>
      <c r="AN22" s="30" t="s">
        <v>22</v>
      </c>
      <c r="AO22" s="30" t="s">
        <v>311</v>
      </c>
      <c r="AP22" s="73" t="s">
        <v>23</v>
      </c>
      <c r="AQ22" s="1" t="s">
        <v>273</v>
      </c>
      <c r="AR22" s="12"/>
      <c r="AS22" s="12"/>
      <c r="AT22" s="12"/>
    </row>
    <row r="23" spans="1:46" ht="24.95" customHeight="1">
      <c r="A23" s="8"/>
      <c r="B23" s="100" t="s">
        <v>255</v>
      </c>
      <c r="C23" s="100"/>
      <c r="D23" s="100"/>
      <c r="E23" s="109"/>
      <c r="F23" s="109"/>
      <c r="G23" s="109"/>
      <c r="H23" s="109"/>
      <c r="I23" s="109"/>
      <c r="J23" s="109"/>
      <c r="K23" s="109"/>
      <c r="L23" s="109"/>
      <c r="M23" s="109"/>
      <c r="N23" s="109"/>
      <c r="O23" s="109"/>
      <c r="P23" s="109"/>
      <c r="Q23" s="109"/>
      <c r="R23" s="109"/>
      <c r="S23" s="2"/>
      <c r="T23" s="100" t="s">
        <v>287</v>
      </c>
      <c r="U23" s="100"/>
      <c r="V23" s="100"/>
      <c r="W23" s="100"/>
      <c r="X23" s="100"/>
      <c r="Y23" s="109"/>
      <c r="Z23" s="109"/>
      <c r="AA23" s="109"/>
      <c r="AB23" s="109"/>
      <c r="AC23" s="109"/>
      <c r="AD23" s="109"/>
      <c r="AE23" s="109"/>
      <c r="AF23" s="109"/>
      <c r="AG23" s="109"/>
      <c r="AH23" s="109"/>
      <c r="AI23" s="35"/>
      <c r="AJ23" s="35"/>
      <c r="AK23" s="35"/>
      <c r="AL23" s="35"/>
      <c r="AM23" s="8"/>
      <c r="AN23" s="30" t="s">
        <v>24</v>
      </c>
      <c r="AO23" s="30" t="s">
        <v>312</v>
      </c>
      <c r="AP23" s="74" t="s">
        <v>25</v>
      </c>
      <c r="AR23" s="12"/>
      <c r="AS23" s="12"/>
      <c r="AT23" s="12"/>
    </row>
    <row r="24" spans="1:46" ht="24.95" customHeight="1">
      <c r="A24" s="8"/>
      <c r="B24" s="95"/>
      <c r="C24" s="54"/>
      <c r="D24" s="54"/>
      <c r="E24" s="109"/>
      <c r="F24" s="109"/>
      <c r="G24" s="109"/>
      <c r="H24" s="109"/>
      <c r="I24" s="109"/>
      <c r="J24" s="109"/>
      <c r="K24" s="109"/>
      <c r="L24" s="109"/>
      <c r="M24" s="109"/>
      <c r="N24" s="109"/>
      <c r="O24" s="109"/>
      <c r="P24" s="109"/>
      <c r="Q24" s="109"/>
      <c r="R24" s="109"/>
      <c r="S24" s="2"/>
      <c r="T24" s="100" t="s">
        <v>256</v>
      </c>
      <c r="U24" s="100"/>
      <c r="V24" s="100"/>
      <c r="W24" s="100"/>
      <c r="X24" s="100"/>
      <c r="Y24" s="109"/>
      <c r="Z24" s="109"/>
      <c r="AA24" s="109"/>
      <c r="AB24" s="109"/>
      <c r="AC24" s="109"/>
      <c r="AD24" s="109"/>
      <c r="AE24" s="109"/>
      <c r="AF24" s="109"/>
      <c r="AG24" s="109"/>
      <c r="AH24" s="109"/>
      <c r="AI24" s="36"/>
      <c r="AJ24" s="36"/>
      <c r="AK24" s="36"/>
      <c r="AL24" s="3"/>
      <c r="AM24" s="8"/>
      <c r="AN24" s="30" t="s">
        <v>26</v>
      </c>
      <c r="AO24" s="30" t="s">
        <v>313</v>
      </c>
      <c r="AP24" s="73" t="s">
        <v>27</v>
      </c>
      <c r="AR24" s="12"/>
      <c r="AS24" s="12"/>
      <c r="AT24" s="12"/>
    </row>
    <row r="25" spans="1:46" ht="24.95" customHeight="1">
      <c r="A25" s="8"/>
      <c r="B25" s="95"/>
      <c r="C25" s="54"/>
      <c r="D25" s="54"/>
      <c r="E25" s="109"/>
      <c r="F25" s="109"/>
      <c r="G25" s="109"/>
      <c r="H25" s="109"/>
      <c r="I25" s="109"/>
      <c r="J25" s="109"/>
      <c r="K25" s="109"/>
      <c r="L25" s="109"/>
      <c r="M25" s="109"/>
      <c r="N25" s="109"/>
      <c r="O25" s="109"/>
      <c r="P25" s="109"/>
      <c r="Q25" s="109"/>
      <c r="R25" s="109"/>
      <c r="S25" s="2"/>
      <c r="T25" s="100" t="s">
        <v>288</v>
      </c>
      <c r="U25" s="100"/>
      <c r="V25" s="100"/>
      <c r="W25" s="100"/>
      <c r="X25" s="100"/>
      <c r="Y25" s="109"/>
      <c r="Z25" s="109"/>
      <c r="AA25" s="109"/>
      <c r="AB25" s="109"/>
      <c r="AC25" s="109"/>
      <c r="AD25" s="109"/>
      <c r="AE25" s="109"/>
      <c r="AF25" s="109"/>
      <c r="AG25" s="109"/>
      <c r="AH25" s="109"/>
      <c r="AI25" s="36"/>
      <c r="AJ25" s="36"/>
      <c r="AK25" s="36"/>
      <c r="AL25" s="3"/>
      <c r="AM25" s="8"/>
      <c r="AN25" s="30" t="s">
        <v>28</v>
      </c>
      <c r="AO25" s="30" t="s">
        <v>314</v>
      </c>
      <c r="AP25" s="74" t="s">
        <v>29</v>
      </c>
      <c r="AR25" s="12"/>
      <c r="AS25" s="12"/>
      <c r="AT25" s="12"/>
    </row>
    <row r="26" spans="1:46" ht="24.95" customHeight="1">
      <c r="A26" s="8"/>
      <c r="B26" s="95"/>
      <c r="C26" s="54"/>
      <c r="D26" s="54"/>
      <c r="E26" s="109"/>
      <c r="F26" s="109"/>
      <c r="G26" s="109"/>
      <c r="H26" s="109"/>
      <c r="I26" s="109"/>
      <c r="J26" s="109"/>
      <c r="K26" s="109"/>
      <c r="L26" s="109"/>
      <c r="M26" s="109"/>
      <c r="N26" s="109"/>
      <c r="O26" s="109"/>
      <c r="P26" s="109"/>
      <c r="Q26" s="109"/>
      <c r="R26" s="109"/>
      <c r="S26" s="2"/>
      <c r="T26" s="100" t="s">
        <v>257</v>
      </c>
      <c r="U26" s="100"/>
      <c r="V26" s="100"/>
      <c r="W26" s="100"/>
      <c r="X26" s="100"/>
      <c r="Y26" s="109"/>
      <c r="Z26" s="109"/>
      <c r="AA26" s="109"/>
      <c r="AB26" s="109"/>
      <c r="AC26" s="109"/>
      <c r="AD26" s="109"/>
      <c r="AE26" s="109"/>
      <c r="AF26" s="109"/>
      <c r="AG26" s="109"/>
      <c r="AH26" s="109"/>
      <c r="AI26" s="36"/>
      <c r="AJ26" s="36"/>
      <c r="AK26" s="36"/>
      <c r="AL26" s="3"/>
      <c r="AM26" s="8"/>
      <c r="AN26" s="30" t="s">
        <v>30</v>
      </c>
      <c r="AO26" s="30" t="s">
        <v>315</v>
      </c>
      <c r="AP26" s="73" t="s">
        <v>16</v>
      </c>
      <c r="AR26" s="12"/>
      <c r="AS26" s="12"/>
      <c r="AT26" s="12"/>
    </row>
    <row r="27" spans="1:46" ht="24.95" customHeight="1">
      <c r="A27" s="8"/>
      <c r="B27" s="95"/>
      <c r="C27" s="54"/>
      <c r="D27" s="54"/>
      <c r="E27" s="109"/>
      <c r="F27" s="109"/>
      <c r="G27" s="109"/>
      <c r="H27" s="109"/>
      <c r="I27" s="109"/>
      <c r="J27" s="109"/>
      <c r="K27" s="109"/>
      <c r="L27" s="109"/>
      <c r="M27" s="109"/>
      <c r="N27" s="109"/>
      <c r="O27" s="109"/>
      <c r="P27" s="109"/>
      <c r="Q27" s="109"/>
      <c r="R27" s="109"/>
      <c r="S27" s="2"/>
      <c r="AI27" s="35"/>
      <c r="AJ27" s="35"/>
      <c r="AK27" s="35"/>
      <c r="AL27" s="35"/>
      <c r="AM27" s="8"/>
      <c r="AN27" s="30" t="s">
        <v>31</v>
      </c>
      <c r="AO27" s="30" t="s">
        <v>316</v>
      </c>
      <c r="AP27" s="74" t="s">
        <v>32</v>
      </c>
      <c r="AR27" s="12"/>
      <c r="AS27" s="12"/>
      <c r="AT27" s="12"/>
    </row>
    <row r="28" spans="1:46" ht="24.95" customHeight="1">
      <c r="A28" s="8"/>
      <c r="B28" s="96"/>
      <c r="C28" s="96"/>
      <c r="D28" s="96"/>
      <c r="E28" s="96"/>
      <c r="F28" s="96"/>
      <c r="G28" s="96"/>
      <c r="H28" s="96"/>
      <c r="I28" s="96"/>
      <c r="J28" s="96"/>
      <c r="K28" s="96"/>
      <c r="L28" s="96"/>
      <c r="M28" s="96"/>
      <c r="N28" s="96"/>
      <c r="O28" s="96"/>
      <c r="P28" s="96"/>
      <c r="Q28" s="96"/>
      <c r="R28" s="96"/>
      <c r="S28" s="2"/>
      <c r="T28" s="100" t="s">
        <v>260</v>
      </c>
      <c r="U28" s="100"/>
      <c r="V28" s="100"/>
      <c r="W28" s="100"/>
      <c r="X28" s="100"/>
      <c r="Y28" s="119"/>
      <c r="Z28" s="119"/>
      <c r="AA28" s="119"/>
      <c r="AB28" s="119"/>
      <c r="AC28" s="119"/>
      <c r="AD28" s="119"/>
      <c r="AE28" s="119"/>
      <c r="AF28" s="119"/>
      <c r="AG28" s="119"/>
      <c r="AH28" s="119"/>
      <c r="AI28" s="37"/>
      <c r="AJ28" s="37"/>
      <c r="AK28" s="37"/>
      <c r="AL28" s="3"/>
      <c r="AM28" s="8"/>
      <c r="AN28" s="30" t="s">
        <v>33</v>
      </c>
      <c r="AO28" s="30" t="s">
        <v>317</v>
      </c>
      <c r="AP28" s="73" t="s">
        <v>34</v>
      </c>
      <c r="AR28" s="12"/>
      <c r="AS28" s="12"/>
      <c r="AT28" s="12"/>
    </row>
    <row r="29" spans="1:46" ht="24.95" customHeight="1">
      <c r="A29" s="8"/>
      <c r="B29" s="96"/>
      <c r="C29" s="96"/>
      <c r="D29" s="96"/>
      <c r="E29" s="96"/>
      <c r="F29" s="96"/>
      <c r="G29" s="96"/>
      <c r="H29" s="96"/>
      <c r="I29" s="96"/>
      <c r="J29" s="96"/>
      <c r="K29" s="96"/>
      <c r="L29" s="96"/>
      <c r="M29" s="96"/>
      <c r="N29" s="96"/>
      <c r="O29" s="96"/>
      <c r="P29" s="96"/>
      <c r="Q29" s="96"/>
      <c r="R29" s="96"/>
      <c r="S29" s="2"/>
      <c r="T29" s="100" t="s">
        <v>289</v>
      </c>
      <c r="U29" s="100"/>
      <c r="V29" s="100"/>
      <c r="W29" s="100"/>
      <c r="X29" s="100"/>
      <c r="Y29" s="119"/>
      <c r="Z29" s="119"/>
      <c r="AA29" s="119"/>
      <c r="AB29" s="119"/>
      <c r="AC29" s="119"/>
      <c r="AD29" s="119"/>
      <c r="AE29" s="119"/>
      <c r="AF29" s="119"/>
      <c r="AG29" s="119"/>
      <c r="AH29" s="119"/>
      <c r="AI29" s="35"/>
      <c r="AJ29" s="35"/>
      <c r="AK29" s="35"/>
      <c r="AL29" s="35"/>
      <c r="AM29" s="8"/>
      <c r="AN29" s="30" t="s">
        <v>35</v>
      </c>
      <c r="AO29" s="30" t="s">
        <v>318</v>
      </c>
      <c r="AP29" s="66" t="s">
        <v>36</v>
      </c>
      <c r="AR29" s="12"/>
      <c r="AS29" s="12"/>
      <c r="AT29" s="12"/>
    </row>
    <row r="30" spans="1:46" ht="24.95" customHeight="1">
      <c r="A30" s="8"/>
      <c r="B30" s="100" t="s">
        <v>258</v>
      </c>
      <c r="C30" s="100"/>
      <c r="D30" s="100"/>
      <c r="E30" s="109"/>
      <c r="F30" s="109"/>
      <c r="G30" s="109"/>
      <c r="H30" s="109"/>
      <c r="I30" s="109"/>
      <c r="J30" s="109"/>
      <c r="K30" s="109"/>
      <c r="L30" s="109"/>
      <c r="M30" s="109"/>
      <c r="N30" s="109"/>
      <c r="O30" s="109"/>
      <c r="P30" s="109"/>
      <c r="Q30" s="109"/>
      <c r="R30" s="109"/>
      <c r="S30" s="2"/>
      <c r="T30" s="100" t="s">
        <v>259</v>
      </c>
      <c r="U30" s="100"/>
      <c r="V30" s="100"/>
      <c r="W30" s="100"/>
      <c r="X30" s="100"/>
      <c r="Y30" s="119"/>
      <c r="Z30" s="119"/>
      <c r="AA30" s="119"/>
      <c r="AB30" s="119"/>
      <c r="AC30" s="119"/>
      <c r="AD30" s="119"/>
      <c r="AE30" s="119"/>
      <c r="AF30" s="119"/>
      <c r="AG30" s="119"/>
      <c r="AH30" s="119"/>
      <c r="AI30" s="36"/>
      <c r="AJ30" s="36"/>
      <c r="AK30" s="36"/>
      <c r="AL30" s="7"/>
      <c r="AM30" s="8"/>
      <c r="AN30" s="30" t="s">
        <v>37</v>
      </c>
      <c r="AO30" s="30" t="s">
        <v>319</v>
      </c>
      <c r="AP30" s="29" t="s">
        <v>38</v>
      </c>
      <c r="AR30" s="12"/>
      <c r="AS30" s="12"/>
      <c r="AT30" s="12"/>
    </row>
    <row r="31" spans="1:46" ht="24.95" customHeight="1">
      <c r="A31" s="8"/>
      <c r="B31" s="95"/>
      <c r="C31" s="54"/>
      <c r="D31" s="54"/>
      <c r="E31" s="109"/>
      <c r="F31" s="109"/>
      <c r="G31" s="109"/>
      <c r="H31" s="109"/>
      <c r="I31" s="109"/>
      <c r="J31" s="109"/>
      <c r="K31" s="109"/>
      <c r="L31" s="109"/>
      <c r="M31" s="109"/>
      <c r="N31" s="109"/>
      <c r="O31" s="109"/>
      <c r="P31" s="109"/>
      <c r="Q31" s="109"/>
      <c r="R31" s="109"/>
      <c r="S31" s="2"/>
      <c r="T31" s="2"/>
      <c r="U31" s="36"/>
      <c r="V31" s="36"/>
      <c r="AE31" s="36"/>
      <c r="AF31" s="36"/>
      <c r="AG31" s="36"/>
      <c r="AH31" s="36"/>
      <c r="AI31" s="36"/>
      <c r="AJ31" s="36"/>
      <c r="AK31" s="36"/>
      <c r="AL31" s="7"/>
      <c r="AM31" s="8"/>
      <c r="AN31" s="30" t="s">
        <v>39</v>
      </c>
      <c r="AO31" s="30" t="s">
        <v>320</v>
      </c>
      <c r="AP31" s="29" t="s">
        <v>40</v>
      </c>
      <c r="AR31" s="12"/>
      <c r="AS31" s="12"/>
      <c r="AT31" s="12"/>
    </row>
    <row r="32" spans="1:46" ht="24.95" customHeight="1">
      <c r="A32" s="8"/>
      <c r="B32" s="95"/>
      <c r="C32" s="54"/>
      <c r="D32" s="54"/>
      <c r="E32" s="109"/>
      <c r="F32" s="109"/>
      <c r="G32" s="109"/>
      <c r="H32" s="109"/>
      <c r="I32" s="109"/>
      <c r="J32" s="109"/>
      <c r="K32" s="109"/>
      <c r="L32" s="109"/>
      <c r="M32" s="109"/>
      <c r="N32" s="109"/>
      <c r="O32" s="109"/>
      <c r="P32" s="109"/>
      <c r="Q32" s="109"/>
      <c r="R32" s="109"/>
      <c r="S32" s="2"/>
      <c r="T32" s="2"/>
      <c r="U32" s="36"/>
      <c r="V32" s="36"/>
      <c r="W32" s="121" t="str">
        <f>AA4</f>
        <v/>
      </c>
      <c r="X32" s="122"/>
      <c r="Y32" s="122"/>
      <c r="Z32" s="122"/>
      <c r="AA32" s="122"/>
      <c r="AB32" s="122"/>
      <c r="AC32" s="122"/>
      <c r="AD32" s="122"/>
      <c r="AE32" s="36"/>
      <c r="AF32" s="36"/>
      <c r="AG32" s="36"/>
      <c r="AH32" s="36"/>
      <c r="AI32" s="36"/>
      <c r="AJ32" s="36"/>
      <c r="AK32" s="36"/>
      <c r="AL32" s="7"/>
      <c r="AM32" s="8"/>
      <c r="AN32" s="30" t="s">
        <v>41</v>
      </c>
      <c r="AO32" s="30" t="s">
        <v>321</v>
      </c>
      <c r="AP32" s="29" t="s">
        <v>42</v>
      </c>
      <c r="AR32" s="12"/>
      <c r="AS32" s="12"/>
      <c r="AT32" s="12"/>
    </row>
    <row r="33" spans="1:46" ht="24.95" customHeight="1">
      <c r="A33" s="8"/>
      <c r="B33" s="95"/>
      <c r="C33" s="54"/>
      <c r="D33" s="54"/>
      <c r="E33" s="109"/>
      <c r="F33" s="109"/>
      <c r="G33" s="109"/>
      <c r="H33" s="109"/>
      <c r="I33" s="109"/>
      <c r="J33" s="109"/>
      <c r="K33" s="109"/>
      <c r="L33" s="109"/>
      <c r="M33" s="109"/>
      <c r="N33" s="109"/>
      <c r="O33" s="109"/>
      <c r="P33" s="109"/>
      <c r="Q33" s="109"/>
      <c r="R33" s="109"/>
      <c r="S33" s="2"/>
      <c r="T33" s="2"/>
      <c r="U33" s="36"/>
      <c r="V33" s="36"/>
      <c r="W33" s="36"/>
      <c r="X33" s="36"/>
      <c r="Y33" s="36"/>
      <c r="Z33" s="36"/>
      <c r="AA33" s="36"/>
      <c r="AB33" s="36"/>
      <c r="AC33" s="36"/>
      <c r="AD33" s="36"/>
      <c r="AE33" s="36"/>
      <c r="AF33" s="36"/>
      <c r="AG33" s="36"/>
      <c r="AH33" s="36"/>
      <c r="AI33" s="36"/>
      <c r="AJ33" s="36"/>
      <c r="AK33" s="36"/>
      <c r="AL33" s="7"/>
      <c r="AM33" s="8"/>
      <c r="AN33" s="30" t="s">
        <v>43</v>
      </c>
      <c r="AO33" s="30" t="s">
        <v>322</v>
      </c>
      <c r="AP33" s="29" t="s">
        <v>44</v>
      </c>
      <c r="AR33" s="12"/>
      <c r="AS33" s="12"/>
      <c r="AT33" s="12"/>
    </row>
    <row r="34" spans="1:46" ht="24.95" customHeight="1">
      <c r="A34" s="8"/>
      <c r="B34" s="95"/>
      <c r="C34" s="54"/>
      <c r="D34" s="54"/>
      <c r="E34" s="109"/>
      <c r="F34" s="109"/>
      <c r="G34" s="109"/>
      <c r="H34" s="109"/>
      <c r="I34" s="109"/>
      <c r="J34" s="109"/>
      <c r="K34" s="109"/>
      <c r="L34" s="109"/>
      <c r="M34" s="109"/>
      <c r="N34" s="109"/>
      <c r="O34" s="109"/>
      <c r="P34" s="109"/>
      <c r="Q34" s="109"/>
      <c r="R34" s="109"/>
      <c r="S34" s="144" t="str">
        <f>IF(B6="YES","Feeder Vessel/Voy:","")</f>
        <v/>
      </c>
      <c r="T34" s="144"/>
      <c r="U34" s="144"/>
      <c r="V34" s="144"/>
      <c r="W34" s="144"/>
      <c r="X34" s="144"/>
      <c r="Y34" s="120" t="str">
        <f>IF(B6="YES",IF(E6="","",E6),"")</f>
        <v/>
      </c>
      <c r="Z34" s="120"/>
      <c r="AA34" s="120"/>
      <c r="AB34" s="120"/>
      <c r="AC34" s="120"/>
      <c r="AD34" s="120"/>
      <c r="AE34" s="120"/>
      <c r="AF34" s="120"/>
      <c r="AG34" s="120"/>
      <c r="AH34" s="120"/>
      <c r="AI34" s="47"/>
      <c r="AJ34" s="36"/>
      <c r="AK34" s="36"/>
      <c r="AL34" s="7"/>
      <c r="AM34" s="8"/>
      <c r="AN34" s="30" t="s">
        <v>45</v>
      </c>
      <c r="AO34" s="30" t="s">
        <v>323</v>
      </c>
      <c r="AP34" s="29" t="s">
        <v>46</v>
      </c>
      <c r="AR34" s="12"/>
      <c r="AS34" s="12"/>
      <c r="AT34" s="12"/>
    </row>
    <row r="35" spans="1:46" ht="24.95" customHeight="1">
      <c r="A35" s="8"/>
      <c r="B35" s="96"/>
      <c r="C35" s="96"/>
      <c r="D35" s="96"/>
      <c r="E35" s="96"/>
      <c r="F35" s="96"/>
      <c r="G35" s="96"/>
      <c r="H35" s="96"/>
      <c r="I35" s="96"/>
      <c r="J35" s="96"/>
      <c r="K35" s="96"/>
      <c r="L35" s="96"/>
      <c r="M35" s="96"/>
      <c r="N35" s="96"/>
      <c r="O35" s="96"/>
      <c r="P35" s="96"/>
      <c r="Q35" s="96"/>
      <c r="R35" s="96"/>
      <c r="S35" s="6"/>
      <c r="T35" s="100" t="str">
        <f>IF(B6="YES","Connecting At:","")</f>
        <v/>
      </c>
      <c r="U35" s="100"/>
      <c r="V35" s="100"/>
      <c r="W35" s="100"/>
      <c r="X35" s="100"/>
      <c r="Y35" s="120" t="str">
        <f>IF(B6="YES",IF(O6="","",O6),"")</f>
        <v/>
      </c>
      <c r="Z35" s="120"/>
      <c r="AA35" s="120"/>
      <c r="AB35" s="120"/>
      <c r="AC35" s="120"/>
      <c r="AD35" s="120"/>
      <c r="AE35" s="120"/>
      <c r="AF35" s="120"/>
      <c r="AG35" s="120"/>
      <c r="AH35" s="120"/>
      <c r="AI35" s="46"/>
      <c r="AJ35" s="47"/>
      <c r="AK35" s="47"/>
      <c r="AL35" s="50"/>
      <c r="AM35" s="8"/>
      <c r="AN35" s="30" t="s">
        <v>47</v>
      </c>
      <c r="AO35" s="30" t="s">
        <v>324</v>
      </c>
      <c r="AP35" s="29"/>
      <c r="AR35" s="12"/>
      <c r="AS35" s="12"/>
      <c r="AT35" s="12"/>
    </row>
    <row r="36" spans="1:46" ht="24.95" customHeight="1">
      <c r="A36" s="8"/>
      <c r="B36" s="96"/>
      <c r="C36" s="96"/>
      <c r="D36" s="96"/>
      <c r="E36" s="96"/>
      <c r="F36" s="96"/>
      <c r="G36" s="96"/>
      <c r="H36" s="96"/>
      <c r="I36" s="96"/>
      <c r="J36" s="96"/>
      <c r="K36" s="96"/>
      <c r="L36" s="96"/>
      <c r="M36" s="96"/>
      <c r="N36" s="96"/>
      <c r="O36" s="96"/>
      <c r="P36" s="96"/>
      <c r="Q36" s="96"/>
      <c r="R36" s="96"/>
      <c r="S36" s="4"/>
      <c r="AG36" s="40"/>
      <c r="AH36" s="40"/>
      <c r="AI36" s="40"/>
      <c r="AJ36" s="40"/>
      <c r="AK36" s="40"/>
      <c r="AL36" s="40"/>
      <c r="AM36" s="8"/>
      <c r="AN36" s="30" t="s">
        <v>48</v>
      </c>
      <c r="AO36" s="30" t="s">
        <v>325</v>
      </c>
      <c r="AP36" s="29"/>
    </row>
    <row r="37" spans="1:46" ht="24.95" customHeight="1">
      <c r="A37" s="8"/>
      <c r="B37" s="100" t="s">
        <v>280</v>
      </c>
      <c r="C37" s="100"/>
      <c r="D37" s="100"/>
      <c r="E37" s="109"/>
      <c r="F37" s="109"/>
      <c r="G37" s="109"/>
      <c r="H37" s="109"/>
      <c r="I37" s="109"/>
      <c r="J37" s="109"/>
      <c r="K37" s="109"/>
      <c r="L37" s="109"/>
      <c r="M37" s="109"/>
      <c r="N37" s="109"/>
      <c r="O37" s="109"/>
      <c r="P37" s="109"/>
      <c r="Q37" s="109"/>
      <c r="R37" s="109"/>
      <c r="S37" s="6"/>
      <c r="T37" s="100" t="str">
        <f>IF(B4="YES","IT No:","")</f>
        <v/>
      </c>
      <c r="U37" s="100"/>
      <c r="V37" s="100"/>
      <c r="W37" s="100"/>
      <c r="X37" s="100"/>
      <c r="Y37" s="120" t="str">
        <f>IF(B4="YES",IF(M4="","",M4),"")</f>
        <v/>
      </c>
      <c r="Z37" s="142"/>
      <c r="AA37" s="142"/>
      <c r="AB37" s="142"/>
      <c r="AC37" s="142"/>
      <c r="AD37" s="142"/>
      <c r="AE37" s="142"/>
      <c r="AF37" s="142"/>
      <c r="AG37" s="34"/>
      <c r="AH37" s="34"/>
      <c r="AI37" s="34"/>
      <c r="AJ37" s="34"/>
      <c r="AK37" s="34"/>
      <c r="AL37" s="50"/>
      <c r="AM37" s="8"/>
      <c r="AN37" s="30" t="s">
        <v>49</v>
      </c>
      <c r="AO37" s="30" t="s">
        <v>326</v>
      </c>
      <c r="AP37" s="29"/>
    </row>
    <row r="38" spans="1:46" ht="24.95" customHeight="1">
      <c r="A38" s="8"/>
      <c r="B38" s="100" t="s">
        <v>308</v>
      </c>
      <c r="C38" s="100"/>
      <c r="D38" s="100"/>
      <c r="E38" s="109"/>
      <c r="F38" s="109"/>
      <c r="G38" s="109"/>
      <c r="H38" s="109"/>
      <c r="I38" s="109"/>
      <c r="J38" s="109"/>
      <c r="K38" s="109"/>
      <c r="L38" s="109"/>
      <c r="M38" s="109"/>
      <c r="N38" s="109"/>
      <c r="O38" s="109"/>
      <c r="P38" s="109"/>
      <c r="Q38" s="109"/>
      <c r="R38" s="109"/>
      <c r="S38" s="38"/>
      <c r="T38" s="100" t="str">
        <f>IF(B4="YES","Submitted:","")</f>
        <v/>
      </c>
      <c r="U38" s="100"/>
      <c r="V38" s="100"/>
      <c r="W38" s="100"/>
      <c r="X38" s="100"/>
      <c r="Y38" s="143" t="str">
        <f>IF(B4="YES",IF(D4="","",D4),"")</f>
        <v/>
      </c>
      <c r="Z38" s="142"/>
      <c r="AA38" s="142"/>
      <c r="AB38" s="142"/>
      <c r="AC38" s="142"/>
      <c r="AD38" s="142"/>
      <c r="AE38" s="142"/>
      <c r="AF38" s="142"/>
      <c r="AG38" s="40"/>
      <c r="AH38" s="40"/>
      <c r="AI38" s="40"/>
      <c r="AJ38" s="40"/>
      <c r="AK38" s="40"/>
      <c r="AL38" s="40"/>
      <c r="AM38" s="8"/>
      <c r="AN38" s="30" t="s">
        <v>50</v>
      </c>
      <c r="AO38" s="30" t="s">
        <v>327</v>
      </c>
      <c r="AP38" s="29"/>
    </row>
    <row r="39" spans="1:46" ht="24.95" customHeight="1">
      <c r="A39" s="8"/>
      <c r="B39" s="95"/>
      <c r="C39" s="54"/>
      <c r="D39" s="54"/>
      <c r="E39" s="109"/>
      <c r="F39" s="109"/>
      <c r="G39" s="109"/>
      <c r="H39" s="109"/>
      <c r="I39" s="109"/>
      <c r="J39" s="109"/>
      <c r="K39" s="109"/>
      <c r="L39" s="109"/>
      <c r="M39" s="109"/>
      <c r="N39" s="109"/>
      <c r="O39" s="109"/>
      <c r="P39" s="109"/>
      <c r="Q39" s="109"/>
      <c r="R39" s="109"/>
      <c r="S39" s="6"/>
      <c r="T39" s="100" t="str">
        <f>IF(B4="YES","Approved:","")</f>
        <v/>
      </c>
      <c r="U39" s="100"/>
      <c r="V39" s="100"/>
      <c r="W39" s="100"/>
      <c r="X39" s="100"/>
      <c r="Y39" s="120" t="str">
        <f>IF(B4="YES",IF(G4="","",G4),"")</f>
        <v/>
      </c>
      <c r="Z39" s="142"/>
      <c r="AA39" s="142"/>
      <c r="AB39" s="142"/>
      <c r="AC39" s="142"/>
      <c r="AD39" s="142"/>
      <c r="AE39" s="142"/>
      <c r="AF39" s="142"/>
      <c r="AG39" s="41"/>
      <c r="AH39" s="41"/>
      <c r="AI39" s="41"/>
      <c r="AJ39" s="41"/>
      <c r="AK39" s="41"/>
      <c r="AL39" s="42"/>
      <c r="AM39" s="8"/>
      <c r="AN39" s="30" t="s">
        <v>51</v>
      </c>
      <c r="AO39" s="30" t="s">
        <v>328</v>
      </c>
      <c r="AP39" s="29"/>
    </row>
    <row r="40" spans="1:46" ht="24.95" customHeight="1">
      <c r="A40" s="8"/>
      <c r="B40" s="95"/>
      <c r="C40" s="54"/>
      <c r="D40" s="54"/>
      <c r="E40" s="109"/>
      <c r="F40" s="109"/>
      <c r="G40" s="109"/>
      <c r="H40" s="109"/>
      <c r="I40" s="109"/>
      <c r="J40" s="109"/>
      <c r="K40" s="109"/>
      <c r="L40" s="109"/>
      <c r="M40" s="109"/>
      <c r="N40" s="109"/>
      <c r="O40" s="109"/>
      <c r="P40" s="109"/>
      <c r="Q40" s="109"/>
      <c r="R40" s="109"/>
      <c r="AJ40" s="57"/>
      <c r="AK40" s="57"/>
      <c r="AL40" s="3"/>
      <c r="AM40" s="8"/>
      <c r="AN40" s="30" t="s">
        <v>52</v>
      </c>
      <c r="AO40" s="30" t="s">
        <v>329</v>
      </c>
      <c r="AP40" s="29"/>
    </row>
    <row r="41" spans="1:46" ht="24.95" customHeight="1">
      <c r="A41" s="8"/>
      <c r="B41" s="95"/>
      <c r="C41" s="54"/>
      <c r="D41" s="54"/>
      <c r="E41" s="109"/>
      <c r="F41" s="109"/>
      <c r="G41" s="109"/>
      <c r="H41" s="109"/>
      <c r="I41" s="109"/>
      <c r="J41" s="109"/>
      <c r="K41" s="109"/>
      <c r="L41" s="109"/>
      <c r="M41" s="109"/>
      <c r="N41" s="109"/>
      <c r="O41" s="109"/>
      <c r="P41" s="109"/>
      <c r="Q41" s="109"/>
      <c r="R41" s="109"/>
      <c r="U41" s="110" t="s">
        <v>293</v>
      </c>
      <c r="V41" s="110"/>
      <c r="W41" s="110"/>
      <c r="X41" s="110"/>
      <c r="Y41" s="110"/>
      <c r="Z41" s="110"/>
      <c r="AJ41" s="57"/>
      <c r="AK41" s="57"/>
      <c r="AM41" s="8"/>
      <c r="AN41" s="30" t="s">
        <v>53</v>
      </c>
      <c r="AO41" s="30" t="s">
        <v>330</v>
      </c>
      <c r="AP41" s="29"/>
    </row>
    <row r="42" spans="1:46" ht="24.95" customHeight="1">
      <c r="A42" s="8"/>
      <c r="C42" s="40"/>
      <c r="D42" s="40"/>
      <c r="E42" s="40"/>
      <c r="F42" s="40"/>
      <c r="U42" s="112" t="s">
        <v>294</v>
      </c>
      <c r="V42" s="112"/>
      <c r="W42" s="112"/>
      <c r="X42" s="112"/>
      <c r="Y42" s="112"/>
      <c r="Z42" s="112"/>
      <c r="AA42" s="112"/>
      <c r="AB42" s="112"/>
      <c r="AC42" s="113"/>
      <c r="AD42" s="113"/>
      <c r="AE42" s="113"/>
      <c r="AF42" s="113"/>
      <c r="AG42" s="94"/>
      <c r="AH42" s="94"/>
      <c r="AI42" s="94"/>
      <c r="AJ42" s="94"/>
      <c r="AK42" s="94"/>
      <c r="AL42" s="94"/>
      <c r="AM42" s="8"/>
      <c r="AN42" s="30" t="s">
        <v>54</v>
      </c>
      <c r="AO42" s="30" t="s">
        <v>331</v>
      </c>
      <c r="AP42" s="29"/>
    </row>
    <row r="43" spans="1:46" ht="24.95" customHeight="1">
      <c r="A43" s="8"/>
      <c r="U43" s="112" t="s">
        <v>295</v>
      </c>
      <c r="V43" s="112"/>
      <c r="W43" s="112"/>
      <c r="X43" s="112"/>
      <c r="Y43" s="112"/>
      <c r="Z43" s="112"/>
      <c r="AA43" s="112"/>
      <c r="AB43" s="112"/>
      <c r="AC43" s="113"/>
      <c r="AD43" s="113"/>
      <c r="AE43" s="113"/>
      <c r="AF43" s="113"/>
      <c r="AJ43" s="57"/>
      <c r="AK43" s="57"/>
      <c r="AM43" s="8"/>
      <c r="AN43" s="30" t="s">
        <v>55</v>
      </c>
      <c r="AO43" s="30" t="s">
        <v>332</v>
      </c>
      <c r="AP43" s="29"/>
    </row>
    <row r="44" spans="1:46" ht="24.95" customHeight="1">
      <c r="A44" s="8"/>
      <c r="B44" s="100" t="s">
        <v>263</v>
      </c>
      <c r="C44" s="100"/>
      <c r="D44" s="100"/>
      <c r="E44" s="141"/>
      <c r="F44" s="141"/>
      <c r="G44" s="141"/>
      <c r="H44" s="141"/>
      <c r="I44" s="141"/>
      <c r="J44" s="141"/>
      <c r="K44" s="141"/>
      <c r="L44" s="39" t="s">
        <v>264</v>
      </c>
      <c r="M44" s="141"/>
      <c r="N44" s="141"/>
      <c r="O44" s="141"/>
      <c r="P44" s="141"/>
      <c r="Q44" s="141"/>
      <c r="R44" s="141"/>
      <c r="U44" s="112" t="s">
        <v>296</v>
      </c>
      <c r="V44" s="112"/>
      <c r="W44" s="112"/>
      <c r="X44" s="112"/>
      <c r="Y44" s="112"/>
      <c r="Z44" s="112"/>
      <c r="AA44" s="112"/>
      <c r="AB44" s="112"/>
      <c r="AC44" s="113"/>
      <c r="AD44" s="113"/>
      <c r="AE44" s="113"/>
      <c r="AF44" s="113"/>
      <c r="AJ44" s="57"/>
      <c r="AK44" s="57"/>
      <c r="AL44" s="53"/>
      <c r="AM44" s="8"/>
      <c r="AN44" s="30" t="s">
        <v>56</v>
      </c>
      <c r="AO44" s="30" t="s">
        <v>333</v>
      </c>
      <c r="AP44" s="29"/>
    </row>
    <row r="45" spans="1:46" ht="24.95" customHeight="1">
      <c r="A45" s="8"/>
      <c r="U45" s="112" t="s">
        <v>297</v>
      </c>
      <c r="V45" s="112"/>
      <c r="W45" s="112"/>
      <c r="X45" s="112"/>
      <c r="Y45" s="112"/>
      <c r="Z45" s="112"/>
      <c r="AA45" s="112"/>
      <c r="AB45" s="112"/>
      <c r="AC45" s="113"/>
      <c r="AD45" s="113"/>
      <c r="AE45" s="113"/>
      <c r="AF45" s="113"/>
      <c r="AJ45" s="55"/>
      <c r="AK45" s="55"/>
      <c r="AL45" s="53"/>
      <c r="AM45" s="8"/>
      <c r="AN45" s="30" t="s">
        <v>57</v>
      </c>
      <c r="AO45" s="30" t="s">
        <v>334</v>
      </c>
      <c r="AP45" s="29"/>
    </row>
    <row r="46" spans="1:46" ht="24.95" customHeight="1">
      <c r="A46" s="48"/>
      <c r="AL46" s="53"/>
      <c r="AM46" s="8"/>
      <c r="AN46" s="30" t="s">
        <v>58</v>
      </c>
      <c r="AO46" s="30" t="s">
        <v>335</v>
      </c>
      <c r="AP46" s="29"/>
    </row>
    <row r="47" spans="1:46" ht="24.95" customHeight="1">
      <c r="A47" s="45"/>
      <c r="B47" s="140" t="s">
        <v>279</v>
      </c>
      <c r="C47" s="140"/>
      <c r="D47" s="140"/>
      <c r="E47" s="114"/>
      <c r="F47" s="114"/>
      <c r="G47" s="114"/>
      <c r="H47" s="114"/>
      <c r="I47" s="114"/>
      <c r="J47" s="114"/>
      <c r="K47" s="114"/>
      <c r="L47" s="114"/>
      <c r="M47" s="114"/>
      <c r="N47" s="114"/>
      <c r="O47" s="114"/>
      <c r="P47" s="114"/>
      <c r="Q47" s="114"/>
      <c r="R47" s="114"/>
      <c r="S47" s="114"/>
      <c r="T47" s="114"/>
      <c r="U47" s="114"/>
      <c r="V47" s="114"/>
      <c r="W47" s="114"/>
      <c r="X47" s="114"/>
      <c r="Y47" s="114"/>
      <c r="Z47" s="114"/>
      <c r="AA47" s="114"/>
      <c r="AB47" s="114"/>
      <c r="AC47" s="114"/>
      <c r="AD47" s="114"/>
      <c r="AE47" s="114"/>
      <c r="AF47" s="114"/>
      <c r="AG47" s="114"/>
      <c r="AH47" s="114"/>
      <c r="AI47" s="114"/>
      <c r="AJ47" s="45"/>
      <c r="AK47" s="45"/>
      <c r="AL47" s="53"/>
      <c r="AM47" s="8"/>
      <c r="AN47" s="30" t="s">
        <v>59</v>
      </c>
      <c r="AO47" s="30" t="s">
        <v>336</v>
      </c>
      <c r="AP47" s="29"/>
    </row>
    <row r="48" spans="1:46" ht="24.95" customHeight="1">
      <c r="A48" s="75" t="s">
        <v>266</v>
      </c>
      <c r="B48" s="114"/>
      <c r="C48" s="114"/>
      <c r="D48" s="114"/>
      <c r="E48" s="114"/>
      <c r="F48" s="114"/>
      <c r="G48" s="114"/>
      <c r="H48" s="114"/>
      <c r="I48" s="114"/>
      <c r="J48" s="114"/>
      <c r="K48" s="114"/>
      <c r="L48" s="114"/>
      <c r="M48" s="114"/>
      <c r="N48" s="114"/>
      <c r="O48" s="114"/>
      <c r="P48" s="114"/>
      <c r="Q48" s="114"/>
      <c r="R48" s="114"/>
      <c r="S48" s="114"/>
      <c r="T48" s="114"/>
      <c r="U48" s="114"/>
      <c r="V48" s="114"/>
      <c r="W48" s="114"/>
      <c r="X48" s="114"/>
      <c r="Y48" s="114"/>
      <c r="Z48" s="114"/>
      <c r="AA48" s="114"/>
      <c r="AB48" s="114"/>
      <c r="AC48" s="114"/>
      <c r="AD48" s="114"/>
      <c r="AE48" s="114"/>
      <c r="AF48" s="114"/>
      <c r="AG48" s="114"/>
      <c r="AH48" s="114"/>
      <c r="AI48" s="114"/>
      <c r="AL48" s="53"/>
      <c r="AM48" s="8"/>
      <c r="AN48" s="30" t="s">
        <v>60</v>
      </c>
      <c r="AO48" s="30" t="s">
        <v>337</v>
      </c>
      <c r="AP48" s="29"/>
    </row>
    <row r="49" spans="1:42" ht="24.95" customHeight="1">
      <c r="A49" s="76"/>
      <c r="B49" s="114"/>
      <c r="C49" s="114"/>
      <c r="D49" s="114"/>
      <c r="E49" s="114"/>
      <c r="F49" s="114"/>
      <c r="G49" s="114"/>
      <c r="H49" s="114"/>
      <c r="I49" s="114"/>
      <c r="J49" s="114"/>
      <c r="K49" s="114"/>
      <c r="L49" s="114"/>
      <c r="M49" s="114"/>
      <c r="N49" s="114"/>
      <c r="O49" s="114"/>
      <c r="P49" s="114"/>
      <c r="Q49" s="114"/>
      <c r="R49" s="114"/>
      <c r="S49" s="114"/>
      <c r="T49" s="114"/>
      <c r="U49" s="114"/>
      <c r="V49" s="114"/>
      <c r="W49" s="114"/>
      <c r="X49" s="114"/>
      <c r="Y49" s="114"/>
      <c r="Z49" s="114"/>
      <c r="AA49" s="114"/>
      <c r="AB49" s="114"/>
      <c r="AC49" s="114"/>
      <c r="AD49" s="114"/>
      <c r="AE49" s="114"/>
      <c r="AF49" s="114"/>
      <c r="AG49" s="114"/>
      <c r="AH49" s="114"/>
      <c r="AI49" s="114"/>
      <c r="AL49" s="53"/>
      <c r="AM49" s="8"/>
      <c r="AN49" s="30" t="s">
        <v>61</v>
      </c>
      <c r="AO49" s="30" t="s">
        <v>338</v>
      </c>
      <c r="AP49" s="29"/>
    </row>
    <row r="50" spans="1:42" ht="24.95" customHeight="1">
      <c r="A50" s="76"/>
      <c r="B50" s="114"/>
      <c r="C50" s="114"/>
      <c r="D50" s="114"/>
      <c r="E50" s="114"/>
      <c r="F50" s="114"/>
      <c r="G50" s="114"/>
      <c r="H50" s="114"/>
      <c r="I50" s="114"/>
      <c r="J50" s="114"/>
      <c r="K50" s="114"/>
      <c r="L50" s="114"/>
      <c r="M50" s="114"/>
      <c r="N50" s="114"/>
      <c r="O50" s="114"/>
      <c r="P50" s="114"/>
      <c r="Q50" s="114"/>
      <c r="R50" s="114"/>
      <c r="S50" s="114"/>
      <c r="T50" s="114"/>
      <c r="U50" s="114"/>
      <c r="V50" s="114"/>
      <c r="W50" s="114"/>
      <c r="X50" s="114"/>
      <c r="Y50" s="114"/>
      <c r="Z50" s="114"/>
      <c r="AA50" s="114"/>
      <c r="AB50" s="114"/>
      <c r="AC50" s="114"/>
      <c r="AD50" s="114"/>
      <c r="AE50" s="114"/>
      <c r="AF50" s="114"/>
      <c r="AG50" s="114"/>
      <c r="AH50" s="114"/>
      <c r="AI50" s="114"/>
      <c r="AL50" s="53"/>
      <c r="AM50" s="8"/>
      <c r="AN50" s="30" t="s">
        <v>62</v>
      </c>
      <c r="AO50" s="30" t="s">
        <v>339</v>
      </c>
      <c r="AP50" s="29"/>
    </row>
    <row r="51" spans="1:42" ht="24.95" customHeight="1">
      <c r="A51" s="76"/>
      <c r="B51" s="114"/>
      <c r="C51" s="114"/>
      <c r="D51" s="114"/>
      <c r="E51" s="114"/>
      <c r="F51" s="114"/>
      <c r="G51" s="114"/>
      <c r="H51" s="114"/>
      <c r="I51" s="114"/>
      <c r="J51" s="114"/>
      <c r="K51" s="114"/>
      <c r="L51" s="114"/>
      <c r="M51" s="114"/>
      <c r="N51" s="114"/>
      <c r="O51" s="114"/>
      <c r="P51" s="114"/>
      <c r="Q51" s="114"/>
      <c r="R51" s="114"/>
      <c r="S51" s="114"/>
      <c r="T51" s="114"/>
      <c r="U51" s="114"/>
      <c r="V51" s="114"/>
      <c r="W51" s="114"/>
      <c r="X51" s="114"/>
      <c r="Y51" s="114"/>
      <c r="Z51" s="114"/>
      <c r="AA51" s="114"/>
      <c r="AB51" s="114"/>
      <c r="AC51" s="114"/>
      <c r="AD51" s="114"/>
      <c r="AE51" s="114"/>
      <c r="AF51" s="114"/>
      <c r="AG51" s="114"/>
      <c r="AH51" s="114"/>
      <c r="AI51" s="114"/>
      <c r="AL51" s="53"/>
      <c r="AM51" s="8"/>
      <c r="AN51" s="30" t="s">
        <v>63</v>
      </c>
      <c r="AO51" s="30" t="s">
        <v>340</v>
      </c>
      <c r="AP51" s="29"/>
    </row>
    <row r="52" spans="1:42" ht="24.95" customHeight="1" thickBot="1">
      <c r="A52" s="76"/>
      <c r="B52" s="58"/>
      <c r="C52" s="59"/>
      <c r="D52" s="59"/>
      <c r="E52" s="59"/>
      <c r="F52" s="60"/>
      <c r="G52" s="60"/>
      <c r="H52" s="61"/>
      <c r="I52" s="62"/>
      <c r="J52" s="61"/>
      <c r="K52" s="60"/>
      <c r="L52" s="60"/>
      <c r="M52" s="59"/>
      <c r="N52" s="59"/>
      <c r="O52" s="59"/>
      <c r="P52" s="59"/>
      <c r="Q52" s="59"/>
      <c r="R52" s="59"/>
      <c r="S52" s="59"/>
      <c r="T52" s="59"/>
      <c r="U52" s="59"/>
      <c r="V52" s="59"/>
      <c r="W52" s="59"/>
      <c r="X52" s="59"/>
      <c r="Y52" s="59"/>
      <c r="Z52" s="59"/>
      <c r="AA52" s="59"/>
      <c r="AB52" s="59"/>
      <c r="AC52" s="59"/>
      <c r="AD52" s="59"/>
      <c r="AE52" s="59"/>
      <c r="AF52" s="59"/>
      <c r="AG52" s="59"/>
      <c r="AH52" s="63"/>
      <c r="AI52" s="64"/>
      <c r="AL52" s="53"/>
      <c r="AM52" s="8"/>
      <c r="AN52" s="30" t="s">
        <v>64</v>
      </c>
      <c r="AO52" s="30" t="s">
        <v>341</v>
      </c>
      <c r="AP52" s="29"/>
    </row>
    <row r="53" spans="1:42" ht="42" customHeight="1" thickBot="1">
      <c r="A53" s="76"/>
      <c r="B53" s="139" t="s">
        <v>265</v>
      </c>
      <c r="C53" s="139"/>
      <c r="D53" s="139" t="s">
        <v>267</v>
      </c>
      <c r="E53" s="139"/>
      <c r="F53" s="139"/>
      <c r="G53" s="139"/>
      <c r="H53" s="139"/>
      <c r="I53" s="139"/>
      <c r="J53" s="139"/>
      <c r="K53" s="139" t="s">
        <v>268</v>
      </c>
      <c r="L53" s="139"/>
      <c r="M53" s="139" t="s">
        <v>269</v>
      </c>
      <c r="N53" s="139"/>
      <c r="O53" s="65" t="s">
        <v>270</v>
      </c>
      <c r="P53" s="65"/>
      <c r="Q53" s="65"/>
      <c r="R53" s="65"/>
      <c r="S53" s="65"/>
      <c r="T53" s="65"/>
      <c r="U53" s="65"/>
      <c r="V53" s="65"/>
      <c r="W53" s="65"/>
      <c r="X53" s="65"/>
      <c r="Y53" s="65"/>
      <c r="Z53" s="65"/>
      <c r="AA53" s="65"/>
      <c r="AB53" s="65"/>
      <c r="AC53" s="65"/>
      <c r="AD53" s="65"/>
      <c r="AE53" s="65"/>
      <c r="AF53" s="146" t="str">
        <f>IF(U4="BOTH","KG"&amp;CHAR(10)&amp;"LBS",IF(U4="IMPERIAL ONLY","LBS","KG"))</f>
        <v>KG</v>
      </c>
      <c r="AG53" s="139"/>
      <c r="AH53" s="146" t="str">
        <f>IF(U4="BOTH","CBM"&amp;CHAR(10)&amp;"CFT",IF(U4="IMPERIAL ONLY","CFT","CBM"))</f>
        <v>CBM</v>
      </c>
      <c r="AI53" s="139"/>
      <c r="AL53" s="53"/>
      <c r="AM53" s="8"/>
      <c r="AN53" s="30" t="s">
        <v>65</v>
      </c>
      <c r="AO53" s="30" t="s">
        <v>342</v>
      </c>
      <c r="AP53" s="29"/>
    </row>
    <row r="54" spans="1:42" ht="24.95" customHeight="1">
      <c r="A54" s="76"/>
      <c r="B54" s="99"/>
      <c r="C54" s="99"/>
      <c r="D54" s="99"/>
      <c r="E54" s="99"/>
      <c r="F54" s="99"/>
      <c r="G54" s="99"/>
      <c r="H54" s="99"/>
      <c r="I54" s="99"/>
      <c r="J54" s="99"/>
      <c r="K54" s="99"/>
      <c r="L54" s="99"/>
      <c r="M54" s="99"/>
      <c r="N54" s="99"/>
      <c r="O54" s="99"/>
      <c r="P54" s="99"/>
      <c r="Q54" s="99"/>
      <c r="R54" s="99"/>
      <c r="S54" s="99"/>
      <c r="T54" s="99"/>
      <c r="U54" s="99"/>
      <c r="V54" s="99"/>
      <c r="W54" s="99"/>
      <c r="X54" s="99"/>
      <c r="Y54" s="99"/>
      <c r="Z54" s="99"/>
      <c r="AA54" s="99"/>
      <c r="AB54" s="99"/>
      <c r="AC54" s="99"/>
      <c r="AD54" s="99"/>
      <c r="AE54" s="99"/>
      <c r="AF54" s="99"/>
      <c r="AG54" s="99"/>
      <c r="AH54" s="45"/>
      <c r="AI54" s="45"/>
      <c r="AL54" s="53"/>
      <c r="AM54" s="8"/>
      <c r="AN54" s="30" t="s">
        <v>66</v>
      </c>
      <c r="AO54" s="30" t="s">
        <v>343</v>
      </c>
      <c r="AP54" s="29"/>
    </row>
    <row r="55" spans="1:42" ht="24.95" customHeight="1">
      <c r="A55" s="76"/>
      <c r="B55" s="116"/>
      <c r="C55" s="116"/>
      <c r="D55" s="117"/>
      <c r="E55" s="117"/>
      <c r="F55" s="117"/>
      <c r="G55" s="117"/>
      <c r="H55" s="117"/>
      <c r="I55" s="117"/>
      <c r="J55" s="117"/>
      <c r="K55" s="118"/>
      <c r="L55" s="118"/>
      <c r="M55" s="116"/>
      <c r="N55" s="116"/>
      <c r="O55" s="117"/>
      <c r="P55" s="117"/>
      <c r="Q55" s="117"/>
      <c r="R55" s="117"/>
      <c r="S55" s="117"/>
      <c r="T55" s="117"/>
      <c r="U55" s="117"/>
      <c r="V55" s="117"/>
      <c r="W55" s="117"/>
      <c r="X55" s="117"/>
      <c r="Y55" s="117"/>
      <c r="Z55" s="117"/>
      <c r="AA55" s="117"/>
      <c r="AB55" s="117"/>
      <c r="AC55" s="117"/>
      <c r="AD55" s="117"/>
      <c r="AE55" s="117"/>
      <c r="AF55" s="115"/>
      <c r="AG55" s="115"/>
      <c r="AH55" s="98"/>
      <c r="AI55" s="98"/>
      <c r="AL55" s="53"/>
      <c r="AM55" s="8"/>
      <c r="AN55" s="30" t="s">
        <v>67</v>
      </c>
      <c r="AO55" s="30" t="s">
        <v>344</v>
      </c>
      <c r="AP55" s="29"/>
    </row>
    <row r="56" spans="1:42" ht="24.95" customHeight="1">
      <c r="A56" s="76"/>
      <c r="B56" s="116"/>
      <c r="C56" s="116"/>
      <c r="D56" s="117"/>
      <c r="E56" s="117"/>
      <c r="F56" s="117"/>
      <c r="G56" s="117"/>
      <c r="H56" s="117"/>
      <c r="I56" s="117"/>
      <c r="J56" s="117"/>
      <c r="K56" s="118"/>
      <c r="L56" s="118"/>
      <c r="M56" s="116"/>
      <c r="N56" s="116"/>
      <c r="O56" s="117"/>
      <c r="P56" s="117"/>
      <c r="Q56" s="117"/>
      <c r="R56" s="117"/>
      <c r="S56" s="117"/>
      <c r="T56" s="117"/>
      <c r="U56" s="117"/>
      <c r="V56" s="117"/>
      <c r="W56" s="117"/>
      <c r="X56" s="117"/>
      <c r="Y56" s="117"/>
      <c r="Z56" s="117"/>
      <c r="AA56" s="117"/>
      <c r="AB56" s="117"/>
      <c r="AC56" s="117"/>
      <c r="AD56" s="117"/>
      <c r="AE56" s="117"/>
      <c r="AF56" s="115"/>
      <c r="AG56" s="115"/>
      <c r="AH56" s="98"/>
      <c r="AI56" s="98"/>
      <c r="AL56" s="53"/>
      <c r="AM56" s="8"/>
      <c r="AN56" s="30" t="s">
        <v>68</v>
      </c>
      <c r="AO56" s="30" t="s">
        <v>345</v>
      </c>
      <c r="AP56" s="29"/>
    </row>
    <row r="57" spans="1:42" ht="24.95" customHeight="1">
      <c r="A57" s="76"/>
      <c r="B57" s="116"/>
      <c r="C57" s="116"/>
      <c r="D57" s="117"/>
      <c r="E57" s="117"/>
      <c r="F57" s="117"/>
      <c r="G57" s="117"/>
      <c r="H57" s="117"/>
      <c r="I57" s="117"/>
      <c r="J57" s="117"/>
      <c r="K57" s="118"/>
      <c r="L57" s="118"/>
      <c r="M57" s="116"/>
      <c r="N57" s="116"/>
      <c r="O57" s="117"/>
      <c r="P57" s="117"/>
      <c r="Q57" s="117"/>
      <c r="R57" s="117"/>
      <c r="S57" s="117"/>
      <c r="T57" s="117"/>
      <c r="U57" s="117"/>
      <c r="V57" s="117"/>
      <c r="W57" s="117"/>
      <c r="X57" s="117"/>
      <c r="Y57" s="117"/>
      <c r="Z57" s="117"/>
      <c r="AA57" s="117"/>
      <c r="AB57" s="117"/>
      <c r="AC57" s="117"/>
      <c r="AD57" s="117"/>
      <c r="AE57" s="117"/>
      <c r="AF57" s="115"/>
      <c r="AG57" s="115"/>
      <c r="AH57" s="98"/>
      <c r="AI57" s="98"/>
      <c r="AL57" s="53"/>
      <c r="AM57" s="8"/>
      <c r="AN57" s="30" t="s">
        <v>69</v>
      </c>
      <c r="AO57" s="30" t="s">
        <v>346</v>
      </c>
      <c r="AP57" s="29"/>
    </row>
    <row r="58" spans="1:42" ht="24.95" customHeight="1">
      <c r="A58" s="8"/>
      <c r="B58" s="116"/>
      <c r="C58" s="116"/>
      <c r="D58" s="117"/>
      <c r="E58" s="117"/>
      <c r="F58" s="117"/>
      <c r="G58" s="117"/>
      <c r="H58" s="117"/>
      <c r="I58" s="117"/>
      <c r="J58" s="117"/>
      <c r="K58" s="118"/>
      <c r="L58" s="118"/>
      <c r="M58" s="116"/>
      <c r="N58" s="116"/>
      <c r="O58" s="117"/>
      <c r="P58" s="117"/>
      <c r="Q58" s="117"/>
      <c r="R58" s="117"/>
      <c r="S58" s="117"/>
      <c r="T58" s="117"/>
      <c r="U58" s="117"/>
      <c r="V58" s="117"/>
      <c r="W58" s="117"/>
      <c r="X58" s="117"/>
      <c r="Y58" s="117"/>
      <c r="Z58" s="117"/>
      <c r="AA58" s="117"/>
      <c r="AB58" s="117"/>
      <c r="AC58" s="117"/>
      <c r="AD58" s="117"/>
      <c r="AE58" s="117"/>
      <c r="AF58" s="115"/>
      <c r="AG58" s="115"/>
      <c r="AH58" s="98"/>
      <c r="AI58" s="98"/>
      <c r="AJ58" s="55"/>
      <c r="AK58" s="55"/>
      <c r="AL58" s="80"/>
      <c r="AM58" s="8"/>
      <c r="AN58" s="30" t="s">
        <v>70</v>
      </c>
      <c r="AO58" s="30" t="s">
        <v>347</v>
      </c>
      <c r="AP58" s="29"/>
    </row>
    <row r="59" spans="1:42" ht="24.95" customHeight="1">
      <c r="A59" s="8"/>
      <c r="B59" s="116"/>
      <c r="C59" s="116"/>
      <c r="D59" s="117"/>
      <c r="E59" s="117"/>
      <c r="F59" s="117"/>
      <c r="G59" s="117"/>
      <c r="H59" s="117"/>
      <c r="I59" s="117"/>
      <c r="J59" s="117"/>
      <c r="K59" s="118"/>
      <c r="L59" s="118"/>
      <c r="M59" s="116"/>
      <c r="N59" s="116"/>
      <c r="O59" s="117"/>
      <c r="P59" s="117"/>
      <c r="Q59" s="117"/>
      <c r="R59" s="117"/>
      <c r="S59" s="117"/>
      <c r="T59" s="117"/>
      <c r="U59" s="117"/>
      <c r="V59" s="117"/>
      <c r="W59" s="117"/>
      <c r="X59" s="117"/>
      <c r="Y59" s="117"/>
      <c r="Z59" s="117"/>
      <c r="AA59" s="117"/>
      <c r="AB59" s="117"/>
      <c r="AC59" s="117"/>
      <c r="AD59" s="117"/>
      <c r="AE59" s="117"/>
      <c r="AF59" s="115"/>
      <c r="AG59" s="115"/>
      <c r="AH59" s="98"/>
      <c r="AI59" s="98"/>
      <c r="AJ59" s="55"/>
      <c r="AK59" s="55"/>
      <c r="AL59" s="80"/>
      <c r="AM59" s="8"/>
      <c r="AN59" s="30" t="s">
        <v>71</v>
      </c>
      <c r="AO59" s="30" t="s">
        <v>348</v>
      </c>
      <c r="AP59" s="29"/>
    </row>
    <row r="60" spans="1:42" ht="24.95" customHeight="1">
      <c r="A60" s="8"/>
      <c r="B60" s="116"/>
      <c r="C60" s="116"/>
      <c r="D60" s="117"/>
      <c r="E60" s="117"/>
      <c r="F60" s="117"/>
      <c r="G60" s="117"/>
      <c r="H60" s="117"/>
      <c r="I60" s="117"/>
      <c r="J60" s="117"/>
      <c r="K60" s="118"/>
      <c r="L60" s="118"/>
      <c r="M60" s="116"/>
      <c r="N60" s="116"/>
      <c r="O60" s="117"/>
      <c r="P60" s="117"/>
      <c r="Q60" s="117"/>
      <c r="R60" s="117"/>
      <c r="S60" s="117"/>
      <c r="T60" s="117"/>
      <c r="U60" s="117"/>
      <c r="V60" s="117"/>
      <c r="W60" s="117"/>
      <c r="X60" s="117"/>
      <c r="Y60" s="117"/>
      <c r="Z60" s="117"/>
      <c r="AA60" s="117"/>
      <c r="AB60" s="117"/>
      <c r="AC60" s="117"/>
      <c r="AD60" s="117"/>
      <c r="AE60" s="117"/>
      <c r="AF60" s="115"/>
      <c r="AG60" s="115"/>
      <c r="AH60" s="98"/>
      <c r="AI60" s="98"/>
      <c r="AJ60" s="55"/>
      <c r="AK60" s="55"/>
      <c r="AL60" s="80"/>
      <c r="AM60" s="8"/>
      <c r="AN60" s="30" t="s">
        <v>72</v>
      </c>
      <c r="AO60" s="30" t="s">
        <v>349</v>
      </c>
      <c r="AP60" s="29"/>
    </row>
    <row r="61" spans="1:42" ht="24.95" customHeight="1">
      <c r="A61" s="8"/>
      <c r="B61" s="116"/>
      <c r="C61" s="116"/>
      <c r="D61" s="117"/>
      <c r="E61" s="117"/>
      <c r="F61" s="117"/>
      <c r="G61" s="117"/>
      <c r="H61" s="117"/>
      <c r="I61" s="117"/>
      <c r="J61" s="117"/>
      <c r="K61" s="118"/>
      <c r="L61" s="118"/>
      <c r="M61" s="116"/>
      <c r="N61" s="116"/>
      <c r="O61" s="117"/>
      <c r="P61" s="117"/>
      <c r="Q61" s="117"/>
      <c r="R61" s="117"/>
      <c r="S61" s="117"/>
      <c r="T61" s="117"/>
      <c r="U61" s="117"/>
      <c r="V61" s="117"/>
      <c r="W61" s="117"/>
      <c r="X61" s="117"/>
      <c r="Y61" s="117"/>
      <c r="Z61" s="117"/>
      <c r="AA61" s="117"/>
      <c r="AB61" s="117"/>
      <c r="AC61" s="117"/>
      <c r="AD61" s="117"/>
      <c r="AE61" s="117"/>
      <c r="AF61" s="115"/>
      <c r="AG61" s="115"/>
      <c r="AH61" s="98"/>
      <c r="AI61" s="98"/>
      <c r="AJ61" s="55"/>
      <c r="AK61" s="55"/>
      <c r="AL61" s="80"/>
      <c r="AM61" s="8"/>
      <c r="AN61" s="30" t="s">
        <v>73</v>
      </c>
      <c r="AO61" s="30" t="s">
        <v>350</v>
      </c>
      <c r="AP61" s="29"/>
    </row>
    <row r="62" spans="1:42" ht="24.95" customHeight="1">
      <c r="A62" s="8"/>
      <c r="B62" s="116"/>
      <c r="C62" s="116"/>
      <c r="D62" s="117"/>
      <c r="E62" s="117"/>
      <c r="F62" s="117"/>
      <c r="G62" s="117"/>
      <c r="H62" s="117"/>
      <c r="I62" s="117"/>
      <c r="J62" s="117"/>
      <c r="K62" s="118"/>
      <c r="L62" s="118"/>
      <c r="M62" s="116"/>
      <c r="N62" s="116"/>
      <c r="O62" s="117"/>
      <c r="P62" s="117"/>
      <c r="Q62" s="117"/>
      <c r="R62" s="117"/>
      <c r="S62" s="117"/>
      <c r="T62" s="117"/>
      <c r="U62" s="117"/>
      <c r="V62" s="117"/>
      <c r="W62" s="117"/>
      <c r="X62" s="117"/>
      <c r="Y62" s="117"/>
      <c r="Z62" s="117"/>
      <c r="AA62" s="117"/>
      <c r="AB62" s="117"/>
      <c r="AC62" s="117"/>
      <c r="AD62" s="117"/>
      <c r="AE62" s="117"/>
      <c r="AF62" s="115"/>
      <c r="AG62" s="115"/>
      <c r="AH62" s="98"/>
      <c r="AI62" s="98"/>
      <c r="AJ62" s="55"/>
      <c r="AK62" s="55"/>
      <c r="AL62" s="80"/>
      <c r="AM62" s="8"/>
      <c r="AN62" s="30" t="s">
        <v>74</v>
      </c>
      <c r="AO62" s="30" t="s">
        <v>351</v>
      </c>
      <c r="AP62" s="29"/>
    </row>
    <row r="63" spans="1:42" ht="24.95" customHeight="1">
      <c r="A63" s="8"/>
      <c r="B63" s="116"/>
      <c r="C63" s="116"/>
      <c r="D63" s="117"/>
      <c r="E63" s="117"/>
      <c r="F63" s="117"/>
      <c r="G63" s="117"/>
      <c r="H63" s="117"/>
      <c r="I63" s="117"/>
      <c r="J63" s="117"/>
      <c r="K63" s="118"/>
      <c r="L63" s="118"/>
      <c r="M63" s="116"/>
      <c r="N63" s="116"/>
      <c r="O63" s="117"/>
      <c r="P63" s="117"/>
      <c r="Q63" s="117"/>
      <c r="R63" s="117"/>
      <c r="S63" s="117"/>
      <c r="T63" s="117"/>
      <c r="U63" s="117"/>
      <c r="V63" s="117"/>
      <c r="W63" s="117"/>
      <c r="X63" s="117"/>
      <c r="Y63" s="117"/>
      <c r="Z63" s="117"/>
      <c r="AA63" s="117"/>
      <c r="AB63" s="117"/>
      <c r="AC63" s="117"/>
      <c r="AD63" s="117"/>
      <c r="AE63" s="117"/>
      <c r="AF63" s="115"/>
      <c r="AG63" s="115"/>
      <c r="AH63" s="98"/>
      <c r="AI63" s="98"/>
      <c r="AJ63" s="55"/>
      <c r="AK63" s="55"/>
      <c r="AL63" s="80"/>
      <c r="AM63" s="8"/>
      <c r="AN63" s="30" t="s">
        <v>75</v>
      </c>
      <c r="AO63" s="30" t="s">
        <v>352</v>
      </c>
      <c r="AP63" s="29"/>
    </row>
    <row r="64" spans="1:42" ht="24.95" customHeight="1">
      <c r="A64" s="8"/>
      <c r="B64" s="116"/>
      <c r="C64" s="116"/>
      <c r="D64" s="117"/>
      <c r="E64" s="117"/>
      <c r="F64" s="117"/>
      <c r="G64" s="117"/>
      <c r="H64" s="117"/>
      <c r="I64" s="117"/>
      <c r="J64" s="117"/>
      <c r="K64" s="118"/>
      <c r="L64" s="118"/>
      <c r="M64" s="116"/>
      <c r="N64" s="116"/>
      <c r="O64" s="117"/>
      <c r="P64" s="117"/>
      <c r="Q64" s="117"/>
      <c r="R64" s="117"/>
      <c r="S64" s="117"/>
      <c r="T64" s="117"/>
      <c r="U64" s="117"/>
      <c r="V64" s="117"/>
      <c r="W64" s="117"/>
      <c r="X64" s="117"/>
      <c r="Y64" s="117"/>
      <c r="Z64" s="117"/>
      <c r="AA64" s="117"/>
      <c r="AB64" s="117"/>
      <c r="AC64" s="117"/>
      <c r="AD64" s="117"/>
      <c r="AE64" s="117"/>
      <c r="AF64" s="115"/>
      <c r="AG64" s="115"/>
      <c r="AH64" s="98"/>
      <c r="AI64" s="98"/>
      <c r="AJ64" s="55"/>
      <c r="AK64" s="55"/>
      <c r="AL64" s="80"/>
      <c r="AM64" s="8"/>
      <c r="AN64" s="30" t="s">
        <v>76</v>
      </c>
      <c r="AO64" s="30" t="s">
        <v>353</v>
      </c>
      <c r="AP64" s="29"/>
    </row>
    <row r="65" spans="1:42" ht="24.95" customHeight="1">
      <c r="A65" s="8"/>
      <c r="B65" s="19"/>
      <c r="C65" s="54"/>
      <c r="D65" s="54"/>
      <c r="E65" s="54"/>
      <c r="F65" s="51"/>
      <c r="G65" s="51"/>
      <c r="H65" s="20"/>
      <c r="I65" s="21"/>
      <c r="J65" s="20"/>
      <c r="K65" s="51"/>
      <c r="L65" s="51"/>
      <c r="M65" s="54"/>
      <c r="N65" s="54"/>
      <c r="O65" s="54"/>
      <c r="P65" s="54"/>
      <c r="Q65" s="54"/>
      <c r="R65" s="54"/>
      <c r="S65" s="54"/>
      <c r="T65" s="54"/>
      <c r="U65" s="54"/>
      <c r="V65" s="54"/>
      <c r="W65" s="54"/>
      <c r="X65" s="54"/>
      <c r="Y65" s="54"/>
      <c r="Z65" s="54"/>
      <c r="AA65" s="54"/>
      <c r="AB65" s="54"/>
      <c r="AC65" s="54"/>
      <c r="AD65" s="54"/>
      <c r="AE65" s="54"/>
      <c r="AF65" s="54"/>
      <c r="AG65" s="54"/>
      <c r="AH65" s="80"/>
      <c r="AI65" s="55"/>
      <c r="AJ65" s="55"/>
      <c r="AK65" s="55"/>
      <c r="AL65" s="80"/>
      <c r="AM65" s="8"/>
      <c r="AN65" s="30" t="s">
        <v>77</v>
      </c>
      <c r="AO65" s="30" t="s">
        <v>354</v>
      </c>
      <c r="AP65" s="29"/>
    </row>
    <row r="66" spans="1:42" ht="24.95" customHeight="1">
      <c r="A66" s="8"/>
      <c r="B66" s="19"/>
      <c r="C66" s="54"/>
      <c r="D66" s="54"/>
      <c r="E66" s="100" t="s">
        <v>298</v>
      </c>
      <c r="F66" s="100"/>
      <c r="G66" s="100"/>
      <c r="H66" s="100"/>
      <c r="I66" s="100"/>
      <c r="J66" s="101"/>
      <c r="K66" s="101"/>
      <c r="L66" s="51"/>
      <c r="M66" s="54"/>
      <c r="N66" s="54"/>
      <c r="O66" s="54"/>
      <c r="P66" s="54"/>
      <c r="Q66" s="54"/>
      <c r="R66" s="54"/>
      <c r="S66" s="54"/>
      <c r="T66" s="54"/>
      <c r="U66" s="54"/>
      <c r="V66" s="54"/>
      <c r="W66" s="54"/>
      <c r="X66" s="54"/>
      <c r="Y66" s="54"/>
      <c r="Z66" s="54"/>
      <c r="AA66" s="54"/>
      <c r="AB66" s="54"/>
      <c r="AC66" s="54"/>
      <c r="AD66" s="54"/>
      <c r="AE66" s="54"/>
      <c r="AF66" s="54"/>
      <c r="AG66" s="54"/>
      <c r="AH66" s="80"/>
      <c r="AI66" s="55"/>
      <c r="AJ66" s="55"/>
      <c r="AK66" s="55"/>
      <c r="AL66" s="80"/>
      <c r="AM66" s="8"/>
      <c r="AN66" s="30" t="s">
        <v>78</v>
      </c>
      <c r="AO66" s="30" t="s">
        <v>355</v>
      </c>
      <c r="AP66" s="29"/>
    </row>
    <row r="67" spans="1:42" ht="24.95" customHeight="1">
      <c r="A67" s="8"/>
      <c r="B67" s="19"/>
      <c r="C67" s="54"/>
      <c r="D67" s="54"/>
      <c r="E67" s="100" t="s">
        <v>299</v>
      </c>
      <c r="F67" s="100"/>
      <c r="G67" s="100"/>
      <c r="H67" s="100"/>
      <c r="I67" s="100"/>
      <c r="J67" s="101"/>
      <c r="K67" s="101"/>
      <c r="L67" s="51"/>
      <c r="M67" s="54"/>
      <c r="N67" s="54"/>
      <c r="O67" s="54"/>
      <c r="P67" s="54"/>
      <c r="Q67" s="54"/>
      <c r="R67" s="54"/>
      <c r="S67" s="54"/>
      <c r="T67" s="54"/>
      <c r="U67" s="54"/>
      <c r="V67" s="54"/>
      <c r="W67" s="54"/>
      <c r="X67" s="54"/>
      <c r="Y67" s="54"/>
      <c r="Z67" s="54"/>
      <c r="AA67" s="54"/>
      <c r="AB67" s="54"/>
      <c r="AC67" s="54"/>
      <c r="AD67" s="54"/>
      <c r="AE67" s="54"/>
      <c r="AF67" s="54"/>
      <c r="AG67" s="54"/>
      <c r="AH67" s="80"/>
      <c r="AI67" s="55"/>
      <c r="AJ67" s="55"/>
      <c r="AK67" s="55"/>
      <c r="AL67" s="80"/>
      <c r="AM67" s="8"/>
      <c r="AN67" s="30" t="s">
        <v>79</v>
      </c>
      <c r="AO67" s="30" t="s">
        <v>356</v>
      </c>
      <c r="AP67" s="29"/>
    </row>
    <row r="68" spans="1:42" ht="24.95" customHeight="1">
      <c r="A68" s="8"/>
      <c r="B68" s="19"/>
      <c r="C68" s="54"/>
      <c r="D68" s="54"/>
      <c r="E68" s="54"/>
      <c r="F68" s="51"/>
      <c r="G68" s="51"/>
      <c r="H68" s="20"/>
      <c r="I68" s="21"/>
      <c r="J68" s="20"/>
      <c r="K68" s="51"/>
      <c r="L68" s="51"/>
      <c r="M68" s="54"/>
      <c r="N68" s="54"/>
      <c r="O68" s="54"/>
      <c r="P68" s="54"/>
      <c r="Q68" s="54"/>
      <c r="R68" s="54"/>
      <c r="S68" s="54"/>
      <c r="T68" s="54"/>
      <c r="U68" s="54"/>
      <c r="V68" s="54"/>
      <c r="W68" s="54"/>
      <c r="X68" s="54"/>
      <c r="Y68" s="54"/>
      <c r="Z68" s="54"/>
      <c r="AA68" s="54"/>
      <c r="AB68" s="54"/>
      <c r="AC68" s="54"/>
      <c r="AD68" s="54"/>
      <c r="AE68" s="54"/>
      <c r="AF68" s="54"/>
      <c r="AG68" s="54"/>
      <c r="AH68" s="80"/>
      <c r="AI68" s="55"/>
      <c r="AJ68" s="55"/>
      <c r="AK68" s="55"/>
      <c r="AL68" s="80"/>
      <c r="AM68" s="8"/>
      <c r="AN68" s="30" t="s">
        <v>80</v>
      </c>
      <c r="AO68" s="30" t="s">
        <v>357</v>
      </c>
      <c r="AP68" s="29"/>
    </row>
    <row r="69" spans="1:42" ht="122.25" customHeight="1">
      <c r="A69" s="8"/>
      <c r="B69" s="145" t="s">
        <v>302</v>
      </c>
      <c r="C69" s="14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145"/>
      <c r="AB69" s="145"/>
      <c r="AC69" s="145"/>
      <c r="AD69" s="145"/>
      <c r="AE69" s="145"/>
      <c r="AF69" s="145"/>
      <c r="AG69" s="145"/>
      <c r="AH69" s="145"/>
      <c r="AI69" s="145"/>
      <c r="AJ69" s="55"/>
      <c r="AK69" s="55"/>
      <c r="AL69" s="80"/>
      <c r="AM69" s="8"/>
      <c r="AN69" s="30" t="s">
        <v>81</v>
      </c>
      <c r="AO69" s="30" t="s">
        <v>358</v>
      </c>
      <c r="AP69" s="29"/>
    </row>
    <row r="70" spans="1:42" ht="74.25" customHeight="1">
      <c r="A70" s="8"/>
      <c r="B70" s="145" t="s">
        <v>303</v>
      </c>
      <c r="C70" s="14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145"/>
      <c r="AB70" s="145"/>
      <c r="AC70" s="145"/>
      <c r="AD70" s="145"/>
      <c r="AE70" s="145"/>
      <c r="AF70" s="145"/>
      <c r="AG70" s="145"/>
      <c r="AH70" s="145"/>
      <c r="AI70" s="145"/>
      <c r="AJ70" s="55"/>
      <c r="AK70" s="55"/>
      <c r="AL70" s="80"/>
      <c r="AM70" s="8"/>
      <c r="AN70" s="30" t="s">
        <v>82</v>
      </c>
      <c r="AO70" s="30" t="s">
        <v>359</v>
      </c>
      <c r="AP70" s="29"/>
    </row>
    <row r="71" spans="1:42" ht="54.75" customHeight="1">
      <c r="A71" s="8"/>
      <c r="B71" s="111" t="str">
        <f>"Cargo will start accruing storage after the first "&amp;IF(Y6="","allowable free",SPELLNUMBER(ROUND(Y6,0),"","","",""))&amp;" "&amp;IF(Y6="","","("&amp;Y6&amp;") ")&amp;"days, commencing from date of availabilty. All storage, cartage and demurrage charges applicable as a result of non collection of your goods during the allocated free period will be for the account of the consignee."</f>
        <v>Cargo will start accruing storage after the first allowable free days, commencing from date of availabilty. All storage, cartage and demurrage charges applicable as a result of non collection of your goods during the allocated free period will be for the account of the consignee.</v>
      </c>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c r="AE71" s="111"/>
      <c r="AF71" s="111"/>
      <c r="AG71" s="111"/>
      <c r="AH71" s="111"/>
      <c r="AI71" s="111"/>
      <c r="AJ71" s="55"/>
      <c r="AK71" s="55"/>
      <c r="AL71" s="80"/>
      <c r="AM71" s="8"/>
      <c r="AN71" s="30" t="s">
        <v>83</v>
      </c>
      <c r="AO71" s="30" t="s">
        <v>360</v>
      </c>
      <c r="AP71" s="29"/>
    </row>
    <row r="72" spans="1:42" ht="51.75" customHeight="1">
      <c r="A72" s="8"/>
      <c r="B72" s="145" t="s">
        <v>301</v>
      </c>
      <c r="C72" s="145"/>
      <c r="D72" s="145"/>
      <c r="E72" s="145"/>
      <c r="F72" s="145"/>
      <c r="G72" s="145"/>
      <c r="H72" s="145"/>
      <c r="I72" s="145"/>
      <c r="J72" s="145"/>
      <c r="K72" s="145"/>
      <c r="L72" s="145"/>
      <c r="M72" s="145"/>
      <c r="N72" s="145"/>
      <c r="O72" s="145"/>
      <c r="P72" s="145"/>
      <c r="Q72" s="145"/>
      <c r="R72" s="145"/>
      <c r="S72" s="145"/>
      <c r="T72" s="145"/>
      <c r="U72" s="145"/>
      <c r="V72" s="145"/>
      <c r="W72" s="145"/>
      <c r="X72" s="145"/>
      <c r="Y72" s="145"/>
      <c r="Z72" s="145"/>
      <c r="AA72" s="145"/>
      <c r="AB72" s="145"/>
      <c r="AC72" s="145"/>
      <c r="AD72" s="145"/>
      <c r="AE72" s="145"/>
      <c r="AF72" s="145"/>
      <c r="AG72" s="145"/>
      <c r="AH72" s="145"/>
      <c r="AI72" s="145"/>
      <c r="AJ72" s="55"/>
      <c r="AK72" s="55"/>
      <c r="AL72" s="80"/>
      <c r="AM72" s="8"/>
      <c r="AN72" s="30" t="s">
        <v>84</v>
      </c>
      <c r="AO72" s="30" t="s">
        <v>361</v>
      </c>
      <c r="AP72" s="29"/>
    </row>
    <row r="73" spans="1:42" ht="24.95" customHeight="1">
      <c r="A73" s="8"/>
      <c r="AJ73" s="55"/>
      <c r="AK73" s="55"/>
      <c r="AL73" s="80"/>
      <c r="AM73" s="8"/>
      <c r="AN73" s="30" t="s">
        <v>85</v>
      </c>
      <c r="AO73" s="30" t="s">
        <v>362</v>
      </c>
      <c r="AP73" s="29"/>
    </row>
    <row r="74" spans="1:42" ht="24.95" customHeight="1">
      <c r="A74" s="8"/>
      <c r="AJ74" s="55"/>
      <c r="AK74" s="55"/>
      <c r="AL74" s="80"/>
      <c r="AM74" s="8"/>
      <c r="AN74" s="30" t="s">
        <v>86</v>
      </c>
      <c r="AO74" s="30" t="s">
        <v>363</v>
      </c>
      <c r="AP74" s="29"/>
    </row>
    <row r="75" spans="1:42" ht="24.95" customHeight="1">
      <c r="A75" s="8"/>
      <c r="AJ75" s="55"/>
      <c r="AK75" s="55"/>
      <c r="AL75" s="80"/>
      <c r="AM75" s="8"/>
      <c r="AN75" s="30" t="s">
        <v>87</v>
      </c>
      <c r="AO75" s="30" t="s">
        <v>364</v>
      </c>
      <c r="AP75" s="29"/>
    </row>
    <row r="76" spans="1:42" ht="42" customHeight="1">
      <c r="A76" s="8"/>
      <c r="AJ76" s="55"/>
      <c r="AK76" s="55"/>
      <c r="AL76" s="80"/>
      <c r="AM76" s="8"/>
      <c r="AN76" s="30" t="s">
        <v>88</v>
      </c>
      <c r="AO76" s="30" t="s">
        <v>365</v>
      </c>
      <c r="AP76" s="29"/>
    </row>
    <row r="77" spans="1:42" ht="24.95" customHeight="1">
      <c r="A77" s="8"/>
      <c r="AJ77" s="55"/>
      <c r="AK77" s="55"/>
      <c r="AL77" s="80"/>
      <c r="AM77" s="8"/>
      <c r="AN77" s="30" t="s">
        <v>89</v>
      </c>
      <c r="AO77" s="30" t="s">
        <v>366</v>
      </c>
      <c r="AP77" s="29"/>
    </row>
    <row r="78" spans="1:42" ht="24.95" customHeight="1">
      <c r="A78" s="8"/>
      <c r="AJ78" s="55"/>
      <c r="AK78" s="55"/>
      <c r="AL78" s="80"/>
      <c r="AM78" s="8"/>
      <c r="AN78" s="30" t="s">
        <v>90</v>
      </c>
      <c r="AO78" s="30" t="s">
        <v>367</v>
      </c>
      <c r="AP78" s="29"/>
    </row>
    <row r="79" spans="1:42" ht="24.95" customHeight="1">
      <c r="A79" s="8"/>
      <c r="AJ79" s="55"/>
      <c r="AK79" s="55"/>
      <c r="AL79" s="80"/>
      <c r="AM79" s="8"/>
      <c r="AN79" s="30" t="s">
        <v>91</v>
      </c>
      <c r="AO79" s="30" t="s">
        <v>368</v>
      </c>
      <c r="AP79" s="29"/>
    </row>
    <row r="80" spans="1:42" ht="24.95" customHeight="1">
      <c r="A80" s="8"/>
      <c r="AJ80" s="55"/>
      <c r="AK80" s="55"/>
      <c r="AL80" s="80"/>
      <c r="AM80" s="8"/>
      <c r="AN80" s="30" t="s">
        <v>92</v>
      </c>
      <c r="AO80" s="30" t="s">
        <v>369</v>
      </c>
      <c r="AP80" s="29"/>
    </row>
    <row r="81" spans="1:42" ht="24.95" customHeight="1">
      <c r="A81" s="8"/>
      <c r="AJ81" s="55"/>
      <c r="AK81" s="55"/>
      <c r="AL81" s="80"/>
      <c r="AM81" s="8"/>
      <c r="AN81" s="30" t="s">
        <v>93</v>
      </c>
      <c r="AO81" s="30" t="s">
        <v>370</v>
      </c>
      <c r="AP81" s="29"/>
    </row>
    <row r="82" spans="1:42" ht="24.95" customHeight="1">
      <c r="A82" s="8"/>
      <c r="AJ82" s="55"/>
      <c r="AK82" s="55"/>
      <c r="AL82" s="80"/>
      <c r="AM82" s="8"/>
      <c r="AN82" s="30" t="s">
        <v>94</v>
      </c>
      <c r="AO82" s="30" t="s">
        <v>371</v>
      </c>
      <c r="AP82" s="29"/>
    </row>
    <row r="83" spans="1:42" ht="24.95" customHeight="1">
      <c r="A83" s="8"/>
      <c r="AJ83" s="55"/>
      <c r="AK83" s="55"/>
      <c r="AL83" s="80"/>
      <c r="AM83" s="8"/>
      <c r="AN83" s="30" t="s">
        <v>95</v>
      </c>
      <c r="AO83" s="30" t="s">
        <v>372</v>
      </c>
      <c r="AP83" s="29"/>
    </row>
    <row r="84" spans="1:42" ht="24.95" customHeight="1">
      <c r="A84" s="8"/>
      <c r="AJ84" s="55"/>
      <c r="AK84" s="55"/>
      <c r="AL84" s="80"/>
      <c r="AM84" s="8"/>
      <c r="AN84" s="30" t="s">
        <v>96</v>
      </c>
      <c r="AO84" s="30" t="s">
        <v>373</v>
      </c>
      <c r="AP84" s="29"/>
    </row>
    <row r="85" spans="1:42" ht="24.95" customHeight="1">
      <c r="A85" s="8"/>
      <c r="AJ85" s="55"/>
      <c r="AK85" s="55"/>
      <c r="AL85" s="80"/>
      <c r="AM85" s="8"/>
      <c r="AN85" s="30" t="s">
        <v>97</v>
      </c>
      <c r="AO85" s="30" t="s">
        <v>374</v>
      </c>
      <c r="AP85" s="29"/>
    </row>
    <row r="86" spans="1:42" ht="24.95" customHeight="1">
      <c r="A86" s="8"/>
      <c r="AJ86" s="55"/>
      <c r="AK86" s="55"/>
      <c r="AL86" s="80"/>
      <c r="AM86" s="8"/>
      <c r="AN86" s="30" t="s">
        <v>98</v>
      </c>
      <c r="AO86" s="30" t="s">
        <v>375</v>
      </c>
      <c r="AP86" s="29"/>
    </row>
    <row r="87" spans="1:42" ht="24.95" customHeight="1">
      <c r="A87" s="8"/>
      <c r="AJ87" s="55"/>
      <c r="AK87" s="55"/>
      <c r="AL87" s="80"/>
      <c r="AM87" s="8"/>
      <c r="AN87" s="30" t="s">
        <v>99</v>
      </c>
      <c r="AO87" s="30" t="s">
        <v>376</v>
      </c>
      <c r="AP87" s="29"/>
    </row>
    <row r="88" spans="1:42" ht="24.95" customHeight="1">
      <c r="A88" s="8"/>
      <c r="B88" s="19"/>
      <c r="C88" s="54"/>
      <c r="D88" s="54"/>
      <c r="E88" s="54"/>
      <c r="F88" s="51"/>
      <c r="G88" s="51"/>
      <c r="H88" s="20"/>
      <c r="I88" s="21"/>
      <c r="J88" s="20"/>
      <c r="K88" s="51"/>
      <c r="L88" s="51"/>
      <c r="M88" s="54"/>
      <c r="N88" s="54"/>
      <c r="O88" s="54"/>
      <c r="P88" s="54"/>
      <c r="Q88" s="54"/>
      <c r="R88" s="54"/>
      <c r="S88" s="54"/>
      <c r="T88" s="54"/>
      <c r="U88" s="54"/>
      <c r="V88" s="54"/>
      <c r="W88" s="54"/>
      <c r="X88" s="54"/>
      <c r="Y88" s="54"/>
      <c r="Z88" s="54"/>
      <c r="AA88" s="54"/>
      <c r="AB88" s="54"/>
      <c r="AC88" s="54"/>
      <c r="AD88" s="54"/>
      <c r="AE88" s="54"/>
      <c r="AF88" s="54"/>
      <c r="AG88" s="54"/>
      <c r="AH88" s="80"/>
      <c r="AI88" s="55"/>
      <c r="AJ88" s="55"/>
      <c r="AK88" s="55"/>
      <c r="AL88" s="80"/>
      <c r="AM88" s="8"/>
      <c r="AN88" s="30" t="s">
        <v>100</v>
      </c>
      <c r="AO88" s="30" t="s">
        <v>377</v>
      </c>
      <c r="AP88" s="29"/>
    </row>
    <row r="89" spans="1:42" ht="24.95" customHeight="1">
      <c r="A89" s="8"/>
      <c r="B89" s="19"/>
      <c r="C89" s="54"/>
      <c r="D89" s="54"/>
      <c r="E89" s="54"/>
      <c r="F89" s="51"/>
      <c r="G89" s="51"/>
      <c r="H89" s="20"/>
      <c r="I89" s="21"/>
      <c r="J89" s="20"/>
      <c r="K89" s="51"/>
      <c r="L89" s="51"/>
      <c r="M89" s="54"/>
      <c r="N89" s="54"/>
      <c r="O89" s="54"/>
      <c r="P89" s="54"/>
      <c r="Q89" s="54"/>
      <c r="R89" s="54"/>
      <c r="S89" s="54"/>
      <c r="T89" s="54"/>
      <c r="U89" s="54"/>
      <c r="V89" s="54"/>
      <c r="W89" s="54"/>
      <c r="X89" s="54"/>
      <c r="Y89" s="54"/>
      <c r="Z89" s="54"/>
      <c r="AA89" s="54"/>
      <c r="AB89" s="54"/>
      <c r="AC89" s="54"/>
      <c r="AD89" s="54"/>
      <c r="AE89" s="54"/>
      <c r="AF89" s="54"/>
      <c r="AG89" s="54"/>
      <c r="AH89" s="80"/>
      <c r="AI89" s="55"/>
      <c r="AJ89" s="55"/>
      <c r="AK89" s="55"/>
      <c r="AL89" s="80"/>
      <c r="AM89" s="8"/>
      <c r="AN89" s="30" t="s">
        <v>101</v>
      </c>
      <c r="AO89" s="30" t="s">
        <v>378</v>
      </c>
      <c r="AP89" s="29"/>
    </row>
    <row r="90" spans="1:42" ht="24.95" customHeight="1">
      <c r="A90" s="8"/>
      <c r="B90" s="19"/>
      <c r="C90" s="54"/>
      <c r="D90" s="54"/>
      <c r="E90" s="54"/>
      <c r="F90" s="51"/>
      <c r="G90" s="51"/>
      <c r="H90" s="20"/>
      <c r="I90" s="21"/>
      <c r="J90" s="20"/>
      <c r="K90" s="51"/>
      <c r="L90" s="51"/>
      <c r="M90" s="54"/>
      <c r="N90" s="54"/>
      <c r="O90" s="54"/>
      <c r="P90" s="54"/>
      <c r="Q90" s="54"/>
      <c r="R90" s="54"/>
      <c r="S90" s="54"/>
      <c r="T90" s="54"/>
      <c r="U90" s="54"/>
      <c r="V90" s="54"/>
      <c r="W90" s="54"/>
      <c r="X90" s="54"/>
      <c r="Y90" s="54"/>
      <c r="Z90" s="54"/>
      <c r="AA90" s="54"/>
      <c r="AB90" s="54"/>
      <c r="AC90" s="54"/>
      <c r="AD90" s="54"/>
      <c r="AE90" s="54"/>
      <c r="AF90" s="54"/>
      <c r="AG90" s="54"/>
      <c r="AH90" s="80"/>
      <c r="AI90" s="55"/>
      <c r="AJ90" s="55"/>
      <c r="AK90" s="55"/>
      <c r="AL90" s="80"/>
      <c r="AM90" s="8"/>
      <c r="AN90" s="30" t="s">
        <v>102</v>
      </c>
      <c r="AO90" s="30" t="s">
        <v>379</v>
      </c>
      <c r="AP90" s="29"/>
    </row>
    <row r="91" spans="1:42" ht="24.95" customHeight="1">
      <c r="A91" s="8"/>
      <c r="B91" s="19"/>
      <c r="C91" s="54"/>
      <c r="D91" s="54"/>
      <c r="E91" s="54"/>
      <c r="F91" s="51"/>
      <c r="G91" s="51"/>
      <c r="H91" s="20"/>
      <c r="I91" s="21"/>
      <c r="J91" s="20"/>
      <c r="K91" s="51"/>
      <c r="L91" s="51"/>
      <c r="M91" s="54"/>
      <c r="N91" s="54"/>
      <c r="O91" s="54"/>
      <c r="P91" s="54"/>
      <c r="Q91" s="54"/>
      <c r="R91" s="54"/>
      <c r="S91" s="54"/>
      <c r="T91" s="54"/>
      <c r="U91" s="54"/>
      <c r="V91" s="54"/>
      <c r="W91" s="54"/>
      <c r="X91" s="54"/>
      <c r="Y91" s="54"/>
      <c r="Z91" s="54"/>
      <c r="AA91" s="54"/>
      <c r="AB91" s="54"/>
      <c r="AC91" s="54"/>
      <c r="AD91" s="54"/>
      <c r="AE91" s="54"/>
      <c r="AF91" s="54"/>
      <c r="AG91" s="54"/>
      <c r="AH91" s="80"/>
      <c r="AI91" s="55"/>
      <c r="AJ91" s="55"/>
      <c r="AK91" s="55"/>
      <c r="AL91" s="80"/>
      <c r="AM91" s="8"/>
      <c r="AN91" s="30" t="s">
        <v>103</v>
      </c>
      <c r="AO91" s="30" t="s">
        <v>380</v>
      </c>
      <c r="AP91" s="29"/>
    </row>
    <row r="92" spans="1:42" ht="24.95" customHeight="1">
      <c r="A92" s="8"/>
      <c r="B92" s="19"/>
      <c r="C92" s="54"/>
      <c r="D92" s="54"/>
      <c r="E92" s="54"/>
      <c r="F92" s="51"/>
      <c r="G92" s="51"/>
      <c r="H92" s="20"/>
      <c r="I92" s="21"/>
      <c r="J92" s="20"/>
      <c r="K92" s="51"/>
      <c r="L92" s="51"/>
      <c r="M92" s="54"/>
      <c r="N92" s="54"/>
      <c r="O92" s="54"/>
      <c r="P92" s="54"/>
      <c r="Q92" s="54"/>
      <c r="R92" s="54"/>
      <c r="S92" s="54"/>
      <c r="T92" s="54"/>
      <c r="U92" s="54"/>
      <c r="V92" s="54"/>
      <c r="W92" s="54"/>
      <c r="X92" s="54"/>
      <c r="Y92" s="54"/>
      <c r="Z92" s="54"/>
      <c r="AA92" s="54"/>
      <c r="AB92" s="54"/>
      <c r="AC92" s="54"/>
      <c r="AD92" s="54"/>
      <c r="AE92" s="54"/>
      <c r="AF92" s="54"/>
      <c r="AG92" s="54"/>
      <c r="AH92" s="80"/>
      <c r="AI92" s="55"/>
      <c r="AJ92" s="55"/>
      <c r="AK92" s="55"/>
      <c r="AL92" s="80"/>
      <c r="AM92" s="8"/>
      <c r="AN92" s="30" t="s">
        <v>104</v>
      </c>
      <c r="AO92" s="30" t="s">
        <v>381</v>
      </c>
      <c r="AP92" s="29"/>
    </row>
    <row r="93" spans="1:42" ht="24.95" customHeight="1">
      <c r="A93" s="8"/>
      <c r="B93" s="19"/>
      <c r="C93" s="54"/>
      <c r="D93" s="54"/>
      <c r="E93" s="54"/>
      <c r="F93" s="51"/>
      <c r="G93" s="51"/>
      <c r="H93" s="20"/>
      <c r="I93" s="21"/>
      <c r="J93" s="20"/>
      <c r="K93" s="51"/>
      <c r="L93" s="51"/>
      <c r="M93" s="54"/>
      <c r="N93" s="54"/>
      <c r="O93" s="54"/>
      <c r="P93" s="54"/>
      <c r="Q93" s="54"/>
      <c r="R93" s="54"/>
      <c r="S93" s="54"/>
      <c r="T93" s="54"/>
      <c r="U93" s="54"/>
      <c r="V93" s="54"/>
      <c r="W93" s="54"/>
      <c r="X93" s="54"/>
      <c r="Y93" s="54"/>
      <c r="Z93" s="54"/>
      <c r="AA93" s="54"/>
      <c r="AB93" s="54"/>
      <c r="AC93" s="54"/>
      <c r="AD93" s="54"/>
      <c r="AE93" s="54"/>
      <c r="AF93" s="54"/>
      <c r="AG93" s="54"/>
      <c r="AH93" s="80"/>
      <c r="AI93" s="55"/>
      <c r="AJ93" s="55"/>
      <c r="AK93" s="55"/>
      <c r="AL93" s="80"/>
      <c r="AM93" s="8"/>
      <c r="AN93" s="30" t="s">
        <v>105</v>
      </c>
      <c r="AO93" s="30" t="s">
        <v>382</v>
      </c>
      <c r="AP93" s="29"/>
    </row>
    <row r="94" spans="1:42" ht="24.95" customHeight="1">
      <c r="A94" s="8"/>
      <c r="B94" s="19"/>
      <c r="C94" s="84"/>
      <c r="D94" s="84"/>
      <c r="E94" s="84"/>
      <c r="F94" s="19"/>
      <c r="G94" s="19"/>
      <c r="H94" s="43"/>
      <c r="I94" s="23"/>
      <c r="J94" s="81"/>
      <c r="K94" s="19"/>
      <c r="L94" s="19"/>
      <c r="M94" s="40"/>
      <c r="N94" s="40"/>
      <c r="O94" s="40"/>
      <c r="P94" s="40"/>
      <c r="Q94" s="40"/>
      <c r="R94" s="40"/>
      <c r="S94" s="40"/>
      <c r="T94" s="40"/>
      <c r="U94" s="40"/>
      <c r="V94" s="40"/>
      <c r="W94" s="40"/>
      <c r="X94" s="40"/>
      <c r="Y94" s="40"/>
      <c r="Z94" s="40"/>
      <c r="AA94" s="40"/>
      <c r="AB94" s="40"/>
      <c r="AC94" s="40"/>
      <c r="AD94" s="40"/>
      <c r="AE94" s="85"/>
      <c r="AF94" s="85"/>
      <c r="AG94" s="85"/>
      <c r="AH94" s="44"/>
      <c r="AI94" s="82"/>
      <c r="AJ94" s="82"/>
      <c r="AK94" s="82"/>
      <c r="AL94" s="23"/>
      <c r="AM94" s="8"/>
      <c r="AN94" s="30" t="s">
        <v>106</v>
      </c>
      <c r="AO94" s="30" t="s">
        <v>383</v>
      </c>
      <c r="AP94" s="29"/>
    </row>
    <row r="95" spans="1:42" ht="24.95" customHeight="1">
      <c r="A95" s="8"/>
      <c r="B95" s="19"/>
      <c r="C95" s="42"/>
      <c r="D95" s="42"/>
      <c r="E95" s="42"/>
      <c r="F95" s="77"/>
      <c r="G95" s="86"/>
      <c r="H95" s="86"/>
      <c r="I95" s="86"/>
      <c r="J95" s="86"/>
      <c r="K95" s="86"/>
      <c r="L95" s="19"/>
      <c r="M95" s="42"/>
      <c r="N95" s="42"/>
      <c r="O95" s="42"/>
      <c r="P95" s="42"/>
      <c r="Q95" s="42"/>
      <c r="R95" s="42"/>
      <c r="S95" s="42"/>
      <c r="T95" s="42"/>
      <c r="U95" s="42"/>
      <c r="V95" s="42"/>
      <c r="W95" s="42"/>
      <c r="X95" s="42"/>
      <c r="Y95" s="42"/>
      <c r="Z95" s="42"/>
      <c r="AA95" s="42"/>
      <c r="AB95" s="42"/>
      <c r="AC95" s="42"/>
      <c r="AD95" s="42"/>
      <c r="AE95" s="87"/>
      <c r="AF95" s="87"/>
      <c r="AG95" s="87"/>
      <c r="AH95" s="22"/>
      <c r="AI95" s="87"/>
      <c r="AJ95" s="87"/>
      <c r="AK95" s="87"/>
      <c r="AL95" s="79"/>
      <c r="AM95" s="8"/>
      <c r="AN95" s="30" t="s">
        <v>107</v>
      </c>
      <c r="AO95" s="30" t="s">
        <v>384</v>
      </c>
      <c r="AP95" s="29"/>
    </row>
    <row r="96" spans="1:42" ht="24.95" customHeight="1">
      <c r="A96" s="8"/>
      <c r="B96" s="19"/>
      <c r="C96" s="42"/>
      <c r="D96" s="42"/>
      <c r="E96" s="42"/>
      <c r="F96" s="78"/>
      <c r="G96" s="19"/>
      <c r="H96" s="23"/>
      <c r="I96" s="23"/>
      <c r="J96" s="23"/>
      <c r="K96" s="19"/>
      <c r="L96" s="19"/>
      <c r="M96" s="42"/>
      <c r="N96" s="42"/>
      <c r="O96" s="42"/>
      <c r="P96" s="42"/>
      <c r="Q96" s="42"/>
      <c r="R96" s="42"/>
      <c r="S96" s="42"/>
      <c r="T96" s="42"/>
      <c r="U96" s="42"/>
      <c r="V96" s="42"/>
      <c r="W96" s="42"/>
      <c r="X96" s="42"/>
      <c r="Y96" s="42"/>
      <c r="Z96" s="42"/>
      <c r="AA96" s="42"/>
      <c r="AB96" s="42"/>
      <c r="AC96" s="42"/>
      <c r="AD96" s="42"/>
      <c r="AE96" s="87"/>
      <c r="AF96" s="87"/>
      <c r="AG96" s="87"/>
      <c r="AH96" s="79"/>
      <c r="AI96" s="87"/>
      <c r="AJ96" s="87"/>
      <c r="AK96" s="87"/>
      <c r="AL96" s="24"/>
      <c r="AM96" s="8"/>
      <c r="AN96" s="30" t="s">
        <v>108</v>
      </c>
      <c r="AO96" s="30" t="s">
        <v>385</v>
      </c>
      <c r="AP96" s="29"/>
    </row>
    <row r="97" spans="1:43" s="16" customFormat="1" ht="24.95" customHeight="1">
      <c r="A97" s="14"/>
      <c r="B97" s="15"/>
      <c r="C97" s="14"/>
      <c r="D97" s="14"/>
      <c r="E97" s="14"/>
      <c r="F97" s="25"/>
      <c r="G97" s="25"/>
      <c r="H97" s="83"/>
      <c r="I97" s="83"/>
      <c r="J97" s="83"/>
      <c r="K97" s="25"/>
      <c r="L97" s="15"/>
      <c r="M97" s="88"/>
      <c r="N97" s="88"/>
      <c r="O97" s="88"/>
      <c r="P97" s="88"/>
      <c r="Q97" s="88"/>
      <c r="R97" s="88"/>
      <c r="S97" s="88"/>
      <c r="T97" s="88"/>
      <c r="U97" s="88"/>
      <c r="V97" s="88"/>
      <c r="W97" s="88"/>
      <c r="X97" s="88"/>
      <c r="Y97" s="88"/>
      <c r="Z97" s="88"/>
      <c r="AA97" s="88"/>
      <c r="AB97" s="88"/>
      <c r="AC97" s="88"/>
      <c r="AD97" s="88"/>
      <c r="AE97" s="89"/>
      <c r="AF97" s="89"/>
      <c r="AG97" s="89"/>
      <c r="AH97" s="26"/>
      <c r="AI97" s="89"/>
      <c r="AJ97" s="89"/>
      <c r="AK97" s="89"/>
      <c r="AL97" s="52"/>
      <c r="AM97" s="14"/>
      <c r="AN97" s="30" t="s">
        <v>109</v>
      </c>
      <c r="AO97" s="30" t="s">
        <v>386</v>
      </c>
      <c r="AP97" s="29"/>
      <c r="AQ97" s="1"/>
    </row>
    <row r="98" spans="1:43" ht="24.95" customHeight="1">
      <c r="A98" s="8"/>
      <c r="B98" s="9"/>
      <c r="C98" s="90"/>
      <c r="D98" s="90"/>
      <c r="E98" s="90"/>
      <c r="F98" s="8"/>
      <c r="G98" s="8"/>
      <c r="H98" s="8"/>
      <c r="I98" s="8"/>
      <c r="J98" s="8"/>
      <c r="K98" s="8"/>
      <c r="L98" s="9"/>
      <c r="M98" s="8"/>
      <c r="N98" s="8"/>
      <c r="O98" s="8"/>
      <c r="P98" s="8"/>
      <c r="Q98" s="8"/>
      <c r="R98" s="8"/>
      <c r="S98" s="8"/>
      <c r="T98" s="40"/>
      <c r="U98" s="40"/>
      <c r="V98" s="40"/>
      <c r="W98" s="40"/>
      <c r="X98" s="40"/>
      <c r="Y98" s="40"/>
      <c r="Z98" s="40"/>
      <c r="AA98" s="40"/>
      <c r="AB98" s="40"/>
      <c r="AC98" s="40"/>
      <c r="AD98" s="78"/>
      <c r="AE98" s="78"/>
      <c r="AF98" s="78"/>
      <c r="AG98" s="78"/>
      <c r="AH98" s="78"/>
      <c r="AI98" s="78"/>
      <c r="AJ98" s="78"/>
      <c r="AK98" s="78"/>
      <c r="AL98" s="78"/>
      <c r="AM98" s="8"/>
      <c r="AN98" s="30" t="s">
        <v>110</v>
      </c>
      <c r="AO98" s="30" t="s">
        <v>387</v>
      </c>
      <c r="AP98" s="29"/>
    </row>
    <row r="99" spans="1:43" ht="24.95" customHeight="1">
      <c r="A99" s="8"/>
      <c r="B99" s="27"/>
      <c r="C99" s="91"/>
      <c r="D99" s="91"/>
      <c r="E99" s="91"/>
      <c r="F99" s="27"/>
      <c r="G99" s="92"/>
      <c r="H99" s="92"/>
      <c r="I99" s="92"/>
      <c r="J99" s="92"/>
      <c r="K99" s="92"/>
      <c r="L99" s="9"/>
      <c r="M99" s="8"/>
      <c r="N99" s="8"/>
      <c r="O99" s="8"/>
      <c r="P99" s="8"/>
      <c r="Q99" s="8"/>
      <c r="R99" s="8"/>
      <c r="S99" s="8"/>
      <c r="T99" s="93"/>
      <c r="U99" s="93"/>
      <c r="V99" s="93"/>
      <c r="W99" s="93"/>
      <c r="X99" s="93"/>
      <c r="Y99" s="93"/>
      <c r="Z99" s="93"/>
      <c r="AA99" s="93"/>
      <c r="AB99" s="93"/>
      <c r="AC99" s="93"/>
      <c r="AD99" s="93"/>
      <c r="AE99" s="93"/>
      <c r="AF99" s="93"/>
      <c r="AG99" s="93"/>
      <c r="AH99" s="93"/>
      <c r="AI99" s="93"/>
      <c r="AJ99" s="93"/>
      <c r="AK99" s="93"/>
      <c r="AL99" s="93"/>
      <c r="AM99" s="8"/>
      <c r="AN99" s="30" t="s">
        <v>111</v>
      </c>
      <c r="AO99" s="30" t="s">
        <v>388</v>
      </c>
      <c r="AP99" s="29"/>
    </row>
    <row r="100" spans="1:43" ht="20.25">
      <c r="A100" s="8"/>
      <c r="B100" s="11"/>
      <c r="C100" s="47"/>
      <c r="D100" s="47"/>
      <c r="E100" s="47"/>
      <c r="F100" s="11"/>
      <c r="G100" s="11"/>
      <c r="H100" s="11"/>
      <c r="I100" s="11"/>
      <c r="J100" s="11"/>
      <c r="K100" s="11"/>
      <c r="L100" s="11"/>
      <c r="M100" s="11"/>
      <c r="N100" s="11"/>
      <c r="O100" s="11"/>
      <c r="P100" s="11"/>
      <c r="Q100" s="11"/>
      <c r="R100" s="11"/>
      <c r="S100" s="11"/>
      <c r="T100" s="8"/>
      <c r="U100" s="8"/>
      <c r="V100" s="8"/>
      <c r="W100" s="8"/>
      <c r="X100" s="8"/>
      <c r="Y100" s="8"/>
      <c r="Z100" s="8"/>
      <c r="AA100" s="8"/>
      <c r="AB100" s="8"/>
      <c r="AC100" s="8"/>
      <c r="AD100" s="8"/>
      <c r="AE100" s="8"/>
      <c r="AF100" s="8"/>
      <c r="AG100" s="8"/>
      <c r="AH100" s="8"/>
      <c r="AI100" s="8"/>
      <c r="AJ100" s="8"/>
      <c r="AK100" s="8"/>
      <c r="AL100" s="8"/>
      <c r="AN100" s="30" t="s">
        <v>112</v>
      </c>
      <c r="AO100" s="30" t="s">
        <v>389</v>
      </c>
      <c r="AP100" s="29"/>
    </row>
    <row r="101" spans="1:43">
      <c r="B101" s="11"/>
      <c r="C101" s="11"/>
      <c r="D101" s="11"/>
      <c r="E101" s="11"/>
      <c r="F101" s="11"/>
      <c r="G101" s="11"/>
      <c r="H101" s="11"/>
      <c r="I101" s="11"/>
      <c r="J101" s="11"/>
      <c r="K101" s="11"/>
      <c r="L101" s="11"/>
      <c r="M101" s="11"/>
      <c r="N101" s="11"/>
      <c r="O101" s="11"/>
      <c r="P101" s="11"/>
      <c r="Q101" s="11"/>
      <c r="R101" s="11"/>
      <c r="S101" s="11"/>
      <c r="T101" s="8"/>
      <c r="U101" s="8"/>
      <c r="V101" s="8"/>
      <c r="W101" s="8"/>
      <c r="X101" s="8"/>
      <c r="Y101" s="8"/>
      <c r="Z101" s="8"/>
      <c r="AA101" s="8"/>
      <c r="AB101" s="8"/>
      <c r="AC101" s="8"/>
      <c r="AD101" s="8"/>
      <c r="AE101" s="8"/>
      <c r="AF101" s="8"/>
      <c r="AG101" s="8"/>
      <c r="AH101" s="8"/>
      <c r="AI101" s="8"/>
      <c r="AJ101" s="8"/>
      <c r="AK101" s="8"/>
      <c r="AL101" s="8"/>
      <c r="AN101" s="30" t="s">
        <v>113</v>
      </c>
      <c r="AO101" s="30" t="s">
        <v>390</v>
      </c>
      <c r="AP101" s="29"/>
    </row>
    <row r="102" spans="1:43">
      <c r="B102" s="5"/>
      <c r="F102" s="5"/>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5"/>
      <c r="AI102" s="5"/>
      <c r="AJ102" s="5"/>
      <c r="AK102" s="5"/>
      <c r="AN102" s="30" t="s">
        <v>114</v>
      </c>
      <c r="AO102" s="30" t="s">
        <v>391</v>
      </c>
      <c r="AP102" s="29"/>
    </row>
    <row r="103" spans="1:43" ht="20.25">
      <c r="B103" s="5"/>
      <c r="D103" s="83"/>
      <c r="E103" s="83"/>
      <c r="F103" s="5"/>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5"/>
      <c r="AI103" s="5"/>
      <c r="AJ103" s="5"/>
      <c r="AK103" s="5"/>
      <c r="AN103" s="30" t="s">
        <v>115</v>
      </c>
      <c r="AO103" s="30" t="s">
        <v>392</v>
      </c>
      <c r="AP103" s="29"/>
    </row>
    <row r="104" spans="1:43" ht="20.25">
      <c r="B104" s="5"/>
      <c r="D104" s="28"/>
      <c r="E104" s="28"/>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N104" s="30" t="s">
        <v>116</v>
      </c>
      <c r="AO104" s="30" t="s">
        <v>393</v>
      </c>
      <c r="AP104" s="29"/>
    </row>
    <row r="105" spans="1:43">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N105" s="30" t="s">
        <v>117</v>
      </c>
      <c r="AO105" s="30" t="s">
        <v>394</v>
      </c>
      <c r="AP105" s="29"/>
    </row>
    <row r="106" spans="1:43">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N106" s="30" t="s">
        <v>118</v>
      </c>
      <c r="AO106" s="30" t="s">
        <v>395</v>
      </c>
      <c r="AP106" s="29"/>
    </row>
    <row r="107" spans="1:43">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N107" s="30" t="s">
        <v>119</v>
      </c>
      <c r="AO107" s="30" t="s">
        <v>396</v>
      </c>
      <c r="AP107" s="29"/>
    </row>
    <row r="108" spans="1:43">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N108" s="30" t="s">
        <v>120</v>
      </c>
      <c r="AO108" s="30" t="s">
        <v>397</v>
      </c>
      <c r="AP108" s="29"/>
    </row>
    <row r="109" spans="1:43">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N109" s="30" t="s">
        <v>121</v>
      </c>
      <c r="AO109" s="30" t="s">
        <v>398</v>
      </c>
      <c r="AP109" s="29"/>
    </row>
    <row r="110" spans="1:43">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N110" s="30" t="s">
        <v>122</v>
      </c>
      <c r="AO110" s="30" t="s">
        <v>399</v>
      </c>
      <c r="AP110" s="29"/>
    </row>
    <row r="111" spans="1:43">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N111" s="30" t="s">
        <v>123</v>
      </c>
      <c r="AO111" s="30" t="s">
        <v>400</v>
      </c>
      <c r="AP111" s="29"/>
    </row>
    <row r="112" spans="1:43">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N112" s="30" t="s">
        <v>124</v>
      </c>
      <c r="AO112" s="30" t="s">
        <v>401</v>
      </c>
      <c r="AP112" s="29"/>
    </row>
    <row r="113" spans="40:42">
      <c r="AN113" s="30" t="s">
        <v>125</v>
      </c>
      <c r="AO113" s="30" t="s">
        <v>402</v>
      </c>
      <c r="AP113" s="29"/>
    </row>
    <row r="114" spans="40:42">
      <c r="AN114" s="30" t="s">
        <v>126</v>
      </c>
      <c r="AO114" s="30" t="s">
        <v>403</v>
      </c>
      <c r="AP114" s="29"/>
    </row>
    <row r="115" spans="40:42">
      <c r="AN115" s="30" t="s">
        <v>127</v>
      </c>
      <c r="AO115" s="30" t="s">
        <v>404</v>
      </c>
      <c r="AP115" s="29"/>
    </row>
    <row r="116" spans="40:42">
      <c r="AN116" s="30" t="s">
        <v>128</v>
      </c>
      <c r="AO116" s="30" t="s">
        <v>405</v>
      </c>
      <c r="AP116" s="29"/>
    </row>
    <row r="117" spans="40:42">
      <c r="AN117" s="30" t="s">
        <v>129</v>
      </c>
      <c r="AO117" s="30" t="s">
        <v>406</v>
      </c>
      <c r="AP117" s="29"/>
    </row>
    <row r="118" spans="40:42">
      <c r="AN118" s="30" t="s">
        <v>130</v>
      </c>
      <c r="AO118" s="30" t="s">
        <v>407</v>
      </c>
      <c r="AP118" s="29"/>
    </row>
    <row r="119" spans="40:42">
      <c r="AN119" s="30" t="s">
        <v>131</v>
      </c>
      <c r="AO119" s="30" t="s">
        <v>408</v>
      </c>
      <c r="AP119" s="29"/>
    </row>
    <row r="120" spans="40:42">
      <c r="AN120" s="30" t="s">
        <v>132</v>
      </c>
      <c r="AO120" s="30" t="s">
        <v>409</v>
      </c>
      <c r="AP120" s="29"/>
    </row>
    <row r="121" spans="40:42">
      <c r="AN121" s="30" t="s">
        <v>133</v>
      </c>
      <c r="AO121" s="30" t="s">
        <v>410</v>
      </c>
      <c r="AP121" s="29"/>
    </row>
    <row r="122" spans="40:42">
      <c r="AN122" s="30" t="s">
        <v>134</v>
      </c>
      <c r="AO122" s="30" t="s">
        <v>411</v>
      </c>
      <c r="AP122" s="29"/>
    </row>
    <row r="123" spans="40:42">
      <c r="AN123" s="30" t="s">
        <v>135</v>
      </c>
      <c r="AO123" s="30" t="s">
        <v>412</v>
      </c>
      <c r="AP123" s="29"/>
    </row>
    <row r="124" spans="40:42">
      <c r="AN124" s="30" t="s">
        <v>136</v>
      </c>
      <c r="AO124" s="30" t="s">
        <v>413</v>
      </c>
      <c r="AP124" s="29"/>
    </row>
    <row r="125" spans="40:42">
      <c r="AN125" s="30" t="s">
        <v>137</v>
      </c>
      <c r="AO125" s="30" t="s">
        <v>414</v>
      </c>
      <c r="AP125" s="29"/>
    </row>
    <row r="126" spans="40:42">
      <c r="AN126" s="30" t="s">
        <v>138</v>
      </c>
      <c r="AO126" s="30" t="s">
        <v>415</v>
      </c>
      <c r="AP126" s="29"/>
    </row>
    <row r="127" spans="40:42">
      <c r="AN127" s="30" t="s">
        <v>139</v>
      </c>
      <c r="AO127" s="30" t="s">
        <v>416</v>
      </c>
      <c r="AP127" s="29"/>
    </row>
    <row r="128" spans="40:42">
      <c r="AN128" s="30" t="s">
        <v>140</v>
      </c>
      <c r="AO128" s="30" t="s">
        <v>417</v>
      </c>
      <c r="AP128" s="29"/>
    </row>
    <row r="129" spans="40:42">
      <c r="AN129" s="30" t="s">
        <v>141</v>
      </c>
      <c r="AO129" s="30" t="s">
        <v>418</v>
      </c>
      <c r="AP129" s="29"/>
    </row>
    <row r="130" spans="40:42">
      <c r="AN130" s="30" t="s">
        <v>142</v>
      </c>
      <c r="AO130" s="30" t="s">
        <v>419</v>
      </c>
      <c r="AP130" s="29"/>
    </row>
    <row r="131" spans="40:42">
      <c r="AN131" s="30" t="s">
        <v>143</v>
      </c>
      <c r="AO131" s="30" t="s">
        <v>420</v>
      </c>
      <c r="AP131" s="29"/>
    </row>
    <row r="132" spans="40:42">
      <c r="AN132" s="30" t="s">
        <v>144</v>
      </c>
      <c r="AO132" s="30" t="s">
        <v>421</v>
      </c>
      <c r="AP132" s="29"/>
    </row>
    <row r="133" spans="40:42">
      <c r="AN133" s="30" t="s">
        <v>145</v>
      </c>
      <c r="AO133" s="30" t="s">
        <v>422</v>
      </c>
      <c r="AP133" s="29"/>
    </row>
    <row r="134" spans="40:42">
      <c r="AN134" s="30" t="s">
        <v>146</v>
      </c>
      <c r="AO134" s="30" t="s">
        <v>423</v>
      </c>
      <c r="AP134" s="29"/>
    </row>
    <row r="135" spans="40:42">
      <c r="AN135" s="30" t="s">
        <v>147</v>
      </c>
      <c r="AO135" s="30" t="s">
        <v>424</v>
      </c>
      <c r="AP135" s="29"/>
    </row>
    <row r="136" spans="40:42">
      <c r="AN136" s="30" t="s">
        <v>148</v>
      </c>
      <c r="AO136" s="30" t="s">
        <v>425</v>
      </c>
      <c r="AP136" s="29"/>
    </row>
    <row r="137" spans="40:42">
      <c r="AN137" s="30" t="s">
        <v>149</v>
      </c>
      <c r="AO137" s="30" t="s">
        <v>426</v>
      </c>
      <c r="AP137" s="29"/>
    </row>
    <row r="138" spans="40:42">
      <c r="AN138" s="30" t="s">
        <v>150</v>
      </c>
      <c r="AO138" s="30" t="s">
        <v>427</v>
      </c>
      <c r="AP138" s="29"/>
    </row>
    <row r="139" spans="40:42">
      <c r="AN139" s="30" t="s">
        <v>151</v>
      </c>
      <c r="AO139" s="30" t="s">
        <v>428</v>
      </c>
      <c r="AP139" s="29"/>
    </row>
    <row r="140" spans="40:42">
      <c r="AN140" s="30" t="s">
        <v>152</v>
      </c>
      <c r="AO140" s="30" t="s">
        <v>429</v>
      </c>
      <c r="AP140" s="29"/>
    </row>
    <row r="141" spans="40:42">
      <c r="AN141" s="30" t="s">
        <v>153</v>
      </c>
      <c r="AO141" s="30" t="s">
        <v>430</v>
      </c>
      <c r="AP141" s="29"/>
    </row>
    <row r="142" spans="40:42">
      <c r="AN142" s="30" t="s">
        <v>154</v>
      </c>
      <c r="AO142" s="30" t="s">
        <v>431</v>
      </c>
      <c r="AP142" s="29"/>
    </row>
    <row r="143" spans="40:42">
      <c r="AN143" s="30" t="s">
        <v>155</v>
      </c>
      <c r="AO143" s="30" t="s">
        <v>432</v>
      </c>
      <c r="AP143" s="29"/>
    </row>
    <row r="144" spans="40:42">
      <c r="AN144" s="30" t="s">
        <v>156</v>
      </c>
      <c r="AO144" s="30" t="s">
        <v>433</v>
      </c>
      <c r="AP144" s="29"/>
    </row>
    <row r="145" spans="40:42">
      <c r="AN145" s="30" t="s">
        <v>157</v>
      </c>
      <c r="AO145" s="30" t="s">
        <v>434</v>
      </c>
      <c r="AP145" s="29"/>
    </row>
    <row r="146" spans="40:42">
      <c r="AN146" s="30" t="s">
        <v>158</v>
      </c>
      <c r="AO146" s="30" t="s">
        <v>435</v>
      </c>
      <c r="AP146" s="29"/>
    </row>
    <row r="147" spans="40:42">
      <c r="AN147" s="30" t="s">
        <v>159</v>
      </c>
      <c r="AO147" s="30" t="s">
        <v>436</v>
      </c>
      <c r="AP147" s="29"/>
    </row>
    <row r="148" spans="40:42">
      <c r="AN148" s="30" t="s">
        <v>160</v>
      </c>
      <c r="AO148" s="30" t="s">
        <v>437</v>
      </c>
      <c r="AP148" s="29"/>
    </row>
    <row r="149" spans="40:42">
      <c r="AN149" s="30" t="s">
        <v>161</v>
      </c>
      <c r="AO149" s="30" t="s">
        <v>438</v>
      </c>
      <c r="AP149" s="29"/>
    </row>
    <row r="150" spans="40:42">
      <c r="AN150" s="30" t="s">
        <v>162</v>
      </c>
      <c r="AO150" s="30" t="s">
        <v>439</v>
      </c>
      <c r="AP150" s="29"/>
    </row>
    <row r="151" spans="40:42">
      <c r="AN151" s="30" t="s">
        <v>163</v>
      </c>
      <c r="AO151" s="30" t="s">
        <v>440</v>
      </c>
      <c r="AP151" s="29"/>
    </row>
    <row r="152" spans="40:42">
      <c r="AN152" s="30" t="s">
        <v>164</v>
      </c>
      <c r="AO152" s="30" t="s">
        <v>441</v>
      </c>
      <c r="AP152" s="29"/>
    </row>
    <row r="153" spans="40:42">
      <c r="AN153" s="30" t="s">
        <v>165</v>
      </c>
      <c r="AO153" s="30" t="s">
        <v>442</v>
      </c>
      <c r="AP153" s="29"/>
    </row>
    <row r="154" spans="40:42">
      <c r="AN154" s="30" t="s">
        <v>166</v>
      </c>
      <c r="AO154" s="30" t="s">
        <v>443</v>
      </c>
      <c r="AP154" s="29"/>
    </row>
    <row r="155" spans="40:42">
      <c r="AN155" s="30" t="s">
        <v>167</v>
      </c>
      <c r="AO155" s="30" t="s">
        <v>444</v>
      </c>
      <c r="AP155" s="29"/>
    </row>
    <row r="156" spans="40:42">
      <c r="AN156" s="30" t="s">
        <v>168</v>
      </c>
      <c r="AO156" s="30" t="s">
        <v>445</v>
      </c>
      <c r="AP156" s="29"/>
    </row>
    <row r="157" spans="40:42">
      <c r="AN157" s="30" t="s">
        <v>169</v>
      </c>
      <c r="AO157" s="30" t="s">
        <v>446</v>
      </c>
      <c r="AP157" s="29"/>
    </row>
    <row r="158" spans="40:42">
      <c r="AN158" s="30" t="s">
        <v>170</v>
      </c>
      <c r="AO158" s="30" t="s">
        <v>447</v>
      </c>
      <c r="AP158" s="29"/>
    </row>
    <row r="159" spans="40:42">
      <c r="AN159" s="30" t="s">
        <v>171</v>
      </c>
      <c r="AO159" s="30" t="s">
        <v>448</v>
      </c>
      <c r="AP159" s="29"/>
    </row>
    <row r="160" spans="40:42">
      <c r="AN160" s="30" t="s">
        <v>172</v>
      </c>
      <c r="AO160" s="30" t="s">
        <v>449</v>
      </c>
      <c r="AP160" s="29"/>
    </row>
    <row r="161" spans="40:42">
      <c r="AN161" s="30" t="s">
        <v>173</v>
      </c>
      <c r="AO161" s="30" t="s">
        <v>450</v>
      </c>
      <c r="AP161" s="29"/>
    </row>
    <row r="162" spans="40:42">
      <c r="AN162" s="30" t="s">
        <v>174</v>
      </c>
      <c r="AO162" s="30" t="s">
        <v>451</v>
      </c>
      <c r="AP162" s="29"/>
    </row>
    <row r="163" spans="40:42">
      <c r="AN163" s="30" t="s">
        <v>175</v>
      </c>
      <c r="AO163" s="30" t="s">
        <v>452</v>
      </c>
      <c r="AP163" s="29"/>
    </row>
    <row r="164" spans="40:42">
      <c r="AN164" s="30" t="s">
        <v>176</v>
      </c>
      <c r="AO164" s="30" t="s">
        <v>453</v>
      </c>
      <c r="AP164" s="29"/>
    </row>
    <row r="165" spans="40:42">
      <c r="AN165" s="30" t="s">
        <v>177</v>
      </c>
      <c r="AO165" s="30" t="s">
        <v>454</v>
      </c>
      <c r="AP165" s="29"/>
    </row>
    <row r="166" spans="40:42">
      <c r="AN166" s="30" t="s">
        <v>178</v>
      </c>
      <c r="AO166" s="30" t="s">
        <v>455</v>
      </c>
      <c r="AP166" s="29"/>
    </row>
    <row r="167" spans="40:42">
      <c r="AN167" s="30" t="s">
        <v>179</v>
      </c>
      <c r="AO167" s="30" t="s">
        <v>456</v>
      </c>
      <c r="AP167" s="29"/>
    </row>
    <row r="168" spans="40:42">
      <c r="AN168" s="30" t="s">
        <v>180</v>
      </c>
      <c r="AO168" s="30" t="s">
        <v>457</v>
      </c>
      <c r="AP168" s="29"/>
    </row>
    <row r="169" spans="40:42">
      <c r="AN169" s="30" t="s">
        <v>181</v>
      </c>
      <c r="AO169" s="30" t="s">
        <v>458</v>
      </c>
      <c r="AP169" s="29"/>
    </row>
    <row r="170" spans="40:42">
      <c r="AN170" s="30" t="s">
        <v>182</v>
      </c>
      <c r="AO170" s="30" t="s">
        <v>459</v>
      </c>
      <c r="AP170" s="29"/>
    </row>
    <row r="171" spans="40:42">
      <c r="AN171" s="30" t="s">
        <v>183</v>
      </c>
      <c r="AO171" s="30" t="s">
        <v>460</v>
      </c>
      <c r="AP171" s="29"/>
    </row>
    <row r="172" spans="40:42">
      <c r="AN172" s="30" t="s">
        <v>184</v>
      </c>
      <c r="AO172" s="30" t="s">
        <v>461</v>
      </c>
      <c r="AP172" s="29"/>
    </row>
    <row r="173" spans="40:42">
      <c r="AN173" s="30" t="s">
        <v>185</v>
      </c>
      <c r="AO173" s="30" t="s">
        <v>462</v>
      </c>
      <c r="AP173" s="29"/>
    </row>
    <row r="174" spans="40:42">
      <c r="AN174" s="30" t="s">
        <v>186</v>
      </c>
      <c r="AO174" s="30" t="s">
        <v>463</v>
      </c>
      <c r="AP174" s="29"/>
    </row>
    <row r="175" spans="40:42">
      <c r="AN175" s="30" t="s">
        <v>187</v>
      </c>
      <c r="AO175" s="30" t="s">
        <v>464</v>
      </c>
      <c r="AP175" s="29"/>
    </row>
    <row r="176" spans="40:42">
      <c r="AN176" s="30" t="s">
        <v>188</v>
      </c>
      <c r="AO176" s="30" t="s">
        <v>465</v>
      </c>
      <c r="AP176" s="29"/>
    </row>
    <row r="177" spans="40:42">
      <c r="AN177" s="30" t="s">
        <v>189</v>
      </c>
      <c r="AO177" s="30" t="s">
        <v>466</v>
      </c>
      <c r="AP177" s="29"/>
    </row>
    <row r="178" spans="40:42">
      <c r="AN178" s="30" t="s">
        <v>190</v>
      </c>
      <c r="AO178" s="30" t="s">
        <v>467</v>
      </c>
      <c r="AP178" s="29"/>
    </row>
    <row r="179" spans="40:42">
      <c r="AN179" s="30" t="s">
        <v>191</v>
      </c>
      <c r="AO179" s="30" t="s">
        <v>468</v>
      </c>
      <c r="AP179" s="29"/>
    </row>
    <row r="180" spans="40:42">
      <c r="AN180" s="30" t="s">
        <v>192</v>
      </c>
      <c r="AO180" s="30" t="s">
        <v>469</v>
      </c>
      <c r="AP180" s="29"/>
    </row>
    <row r="181" spans="40:42">
      <c r="AN181" s="30" t="s">
        <v>193</v>
      </c>
      <c r="AO181" s="30" t="s">
        <v>470</v>
      </c>
      <c r="AP181" s="29"/>
    </row>
    <row r="182" spans="40:42">
      <c r="AN182" s="30" t="s">
        <v>194</v>
      </c>
      <c r="AO182" s="30" t="s">
        <v>471</v>
      </c>
      <c r="AP182" s="29"/>
    </row>
    <row r="183" spans="40:42">
      <c r="AN183" s="30" t="s">
        <v>195</v>
      </c>
      <c r="AO183" s="30" t="s">
        <v>472</v>
      </c>
      <c r="AP183" s="29"/>
    </row>
    <row r="184" spans="40:42">
      <c r="AN184" s="30" t="s">
        <v>196</v>
      </c>
      <c r="AO184" s="30" t="s">
        <v>473</v>
      </c>
      <c r="AP184" s="29"/>
    </row>
    <row r="185" spans="40:42">
      <c r="AN185" s="30" t="s">
        <v>197</v>
      </c>
      <c r="AO185" s="30" t="s">
        <v>474</v>
      </c>
      <c r="AP185" s="29"/>
    </row>
    <row r="186" spans="40:42">
      <c r="AN186" s="30" t="s">
        <v>198</v>
      </c>
      <c r="AO186" s="30" t="s">
        <v>475</v>
      </c>
      <c r="AP186" s="29"/>
    </row>
    <row r="187" spans="40:42">
      <c r="AN187" s="30" t="s">
        <v>199</v>
      </c>
      <c r="AO187" s="30" t="s">
        <v>476</v>
      </c>
      <c r="AP187" s="29"/>
    </row>
    <row r="188" spans="40:42">
      <c r="AN188" s="30" t="s">
        <v>200</v>
      </c>
      <c r="AO188" s="30" t="s">
        <v>477</v>
      </c>
      <c r="AP188" s="29"/>
    </row>
    <row r="189" spans="40:42">
      <c r="AN189" s="30" t="s">
        <v>201</v>
      </c>
      <c r="AO189" s="30" t="s">
        <v>478</v>
      </c>
      <c r="AP189" s="29"/>
    </row>
    <row r="190" spans="40:42">
      <c r="AN190" s="30" t="s">
        <v>202</v>
      </c>
      <c r="AO190" s="30" t="s">
        <v>479</v>
      </c>
      <c r="AP190" s="29"/>
    </row>
    <row r="191" spans="40:42">
      <c r="AN191" s="30" t="s">
        <v>203</v>
      </c>
      <c r="AO191" s="30" t="s">
        <v>480</v>
      </c>
      <c r="AP191" s="29"/>
    </row>
    <row r="192" spans="40:42">
      <c r="AN192" s="30" t="s">
        <v>204</v>
      </c>
      <c r="AO192" s="30" t="s">
        <v>481</v>
      </c>
      <c r="AP192" s="29"/>
    </row>
    <row r="193" spans="40:42">
      <c r="AN193" s="30" t="s">
        <v>205</v>
      </c>
      <c r="AO193" s="30" t="s">
        <v>482</v>
      </c>
      <c r="AP193" s="29"/>
    </row>
    <row r="194" spans="40:42">
      <c r="AN194" s="30" t="s">
        <v>206</v>
      </c>
      <c r="AO194" s="30" t="s">
        <v>483</v>
      </c>
      <c r="AP194" s="29"/>
    </row>
    <row r="195" spans="40:42">
      <c r="AN195" s="30" t="s">
        <v>207</v>
      </c>
      <c r="AO195" s="30" t="s">
        <v>484</v>
      </c>
      <c r="AP195" s="29"/>
    </row>
    <row r="196" spans="40:42">
      <c r="AN196" s="30" t="s">
        <v>208</v>
      </c>
      <c r="AO196" s="30" t="s">
        <v>485</v>
      </c>
      <c r="AP196" s="29"/>
    </row>
    <row r="197" spans="40:42">
      <c r="AN197" s="30" t="s">
        <v>209</v>
      </c>
      <c r="AO197" s="30" t="s">
        <v>486</v>
      </c>
      <c r="AP197" s="29"/>
    </row>
    <row r="198" spans="40:42">
      <c r="AN198" s="30" t="s">
        <v>210</v>
      </c>
      <c r="AO198" s="30" t="s">
        <v>487</v>
      </c>
      <c r="AP198" s="29"/>
    </row>
    <row r="199" spans="40:42">
      <c r="AN199" s="30" t="s">
        <v>211</v>
      </c>
      <c r="AO199" s="30" t="s">
        <v>488</v>
      </c>
      <c r="AP199" s="29"/>
    </row>
    <row r="200" spans="40:42">
      <c r="AN200" s="30" t="s">
        <v>212</v>
      </c>
      <c r="AO200" s="30" t="s">
        <v>489</v>
      </c>
      <c r="AP200" s="29"/>
    </row>
    <row r="201" spans="40:42">
      <c r="AN201" s="30" t="s">
        <v>213</v>
      </c>
      <c r="AO201" s="30" t="s">
        <v>490</v>
      </c>
      <c r="AP201" s="29"/>
    </row>
    <row r="202" spans="40:42">
      <c r="AN202" s="30" t="s">
        <v>214</v>
      </c>
      <c r="AO202" s="30" t="s">
        <v>491</v>
      </c>
      <c r="AP202" s="29"/>
    </row>
    <row r="203" spans="40:42">
      <c r="AN203" s="30" t="s">
        <v>215</v>
      </c>
      <c r="AO203" s="30" t="s">
        <v>492</v>
      </c>
      <c r="AP203" s="29"/>
    </row>
    <row r="204" spans="40:42">
      <c r="AN204" s="30" t="s">
        <v>216</v>
      </c>
      <c r="AO204" s="30" t="s">
        <v>493</v>
      </c>
      <c r="AP204" s="29"/>
    </row>
    <row r="205" spans="40:42">
      <c r="AN205" s="30" t="s">
        <v>217</v>
      </c>
      <c r="AO205" s="30" t="s">
        <v>494</v>
      </c>
      <c r="AP205" s="29"/>
    </row>
    <row r="206" spans="40:42">
      <c r="AN206" s="30" t="s">
        <v>218</v>
      </c>
      <c r="AO206" s="30" t="s">
        <v>495</v>
      </c>
      <c r="AP206" s="29"/>
    </row>
    <row r="207" spans="40:42">
      <c r="AN207" s="30" t="s">
        <v>219</v>
      </c>
      <c r="AO207" s="30" t="s">
        <v>496</v>
      </c>
      <c r="AP207" s="29"/>
    </row>
    <row r="208" spans="40:42">
      <c r="AN208" s="30" t="s">
        <v>220</v>
      </c>
      <c r="AO208" s="30" t="s">
        <v>497</v>
      </c>
      <c r="AP208" s="29"/>
    </row>
    <row r="209" spans="40:42">
      <c r="AN209" s="30" t="s">
        <v>221</v>
      </c>
      <c r="AO209" s="30" t="s">
        <v>498</v>
      </c>
      <c r="AP209" s="29"/>
    </row>
    <row r="210" spans="40:42">
      <c r="AN210" s="30" t="s">
        <v>222</v>
      </c>
      <c r="AO210" s="30" t="s">
        <v>499</v>
      </c>
      <c r="AP210" s="29"/>
    </row>
    <row r="211" spans="40:42">
      <c r="AN211" s="30" t="s">
        <v>223</v>
      </c>
      <c r="AO211" s="30" t="s">
        <v>500</v>
      </c>
      <c r="AP211" s="29"/>
    </row>
    <row r="212" spans="40:42">
      <c r="AN212" s="30" t="s">
        <v>224</v>
      </c>
      <c r="AO212" s="30" t="s">
        <v>501</v>
      </c>
      <c r="AP212" s="29"/>
    </row>
    <row r="213" spans="40:42">
      <c r="AN213" s="30" t="s">
        <v>225</v>
      </c>
      <c r="AO213" s="30" t="s">
        <v>502</v>
      </c>
      <c r="AP213" s="29"/>
    </row>
    <row r="214" spans="40:42">
      <c r="AN214" s="30" t="s">
        <v>226</v>
      </c>
      <c r="AO214" s="30" t="s">
        <v>503</v>
      </c>
      <c r="AP214" s="29"/>
    </row>
    <row r="215" spans="40:42">
      <c r="AN215" s="30" t="s">
        <v>227</v>
      </c>
      <c r="AO215" s="30" t="s">
        <v>504</v>
      </c>
      <c r="AP215" s="29"/>
    </row>
    <row r="216" spans="40:42">
      <c r="AN216" s="30" t="s">
        <v>228</v>
      </c>
      <c r="AO216" s="30" t="s">
        <v>505</v>
      </c>
      <c r="AP216" s="29"/>
    </row>
    <row r="217" spans="40:42">
      <c r="AN217" s="30" t="s">
        <v>229</v>
      </c>
      <c r="AO217" s="30" t="s">
        <v>506</v>
      </c>
      <c r="AP217" s="29"/>
    </row>
    <row r="218" spans="40:42">
      <c r="AN218" s="30" t="s">
        <v>230</v>
      </c>
      <c r="AO218" s="30" t="s">
        <v>507</v>
      </c>
      <c r="AP218" s="29"/>
    </row>
    <row r="219" spans="40:42">
      <c r="AN219" s="30" t="s">
        <v>231</v>
      </c>
      <c r="AO219" s="30" t="s">
        <v>508</v>
      </c>
      <c r="AP219" s="29"/>
    </row>
    <row r="220" spans="40:42">
      <c r="AN220" s="30" t="s">
        <v>232</v>
      </c>
      <c r="AO220" s="30" t="s">
        <v>509</v>
      </c>
      <c r="AP220" s="29"/>
    </row>
    <row r="221" spans="40:42">
      <c r="AN221" s="30" t="s">
        <v>233</v>
      </c>
      <c r="AO221" s="30" t="s">
        <v>510</v>
      </c>
      <c r="AP221" s="29"/>
    </row>
    <row r="222" spans="40:42">
      <c r="AN222" s="30" t="s">
        <v>234</v>
      </c>
      <c r="AO222" s="30" t="s">
        <v>511</v>
      </c>
      <c r="AP222" s="29"/>
    </row>
    <row r="223" spans="40:42">
      <c r="AN223" s="30" t="s">
        <v>235</v>
      </c>
      <c r="AO223" s="30" t="s">
        <v>512</v>
      </c>
      <c r="AP223" s="29"/>
    </row>
    <row r="224" spans="40:42">
      <c r="AN224" s="30" t="s">
        <v>236</v>
      </c>
      <c r="AO224" s="30" t="s">
        <v>513</v>
      </c>
      <c r="AP224" s="29"/>
    </row>
    <row r="225" spans="40:42">
      <c r="AN225" s="30" t="s">
        <v>237</v>
      </c>
      <c r="AO225" s="30" t="s">
        <v>514</v>
      </c>
      <c r="AP225" s="29"/>
    </row>
    <row r="226" spans="40:42">
      <c r="AN226" s="30" t="s">
        <v>238</v>
      </c>
      <c r="AO226" s="30" t="s">
        <v>515</v>
      </c>
      <c r="AP226" s="29"/>
    </row>
    <row r="227" spans="40:42">
      <c r="AN227" s="30" t="s">
        <v>239</v>
      </c>
      <c r="AO227" s="30" t="s">
        <v>516</v>
      </c>
      <c r="AP227" s="29"/>
    </row>
    <row r="228" spans="40:42">
      <c r="AN228" s="30" t="s">
        <v>240</v>
      </c>
      <c r="AO228" s="30" t="s">
        <v>517</v>
      </c>
      <c r="AP228" s="29"/>
    </row>
    <row r="229" spans="40:42">
      <c r="AN229" s="30" t="s">
        <v>241</v>
      </c>
      <c r="AO229" s="30" t="s">
        <v>518</v>
      </c>
      <c r="AP229" s="29"/>
    </row>
    <row r="230" spans="40:42">
      <c r="AN230" s="30" t="s">
        <v>242</v>
      </c>
      <c r="AO230" s="30" t="s">
        <v>519</v>
      </c>
      <c r="AP230" s="29"/>
    </row>
    <row r="231" spans="40:42">
      <c r="AN231" s="30" t="s">
        <v>243</v>
      </c>
      <c r="AO231" s="30" t="s">
        <v>520</v>
      </c>
      <c r="AP231" s="29"/>
    </row>
    <row r="232" spans="40:42">
      <c r="AN232" s="30" t="s">
        <v>244</v>
      </c>
      <c r="AO232" s="30" t="s">
        <v>521</v>
      </c>
      <c r="AP232" s="29"/>
    </row>
    <row r="233" spans="40:42">
      <c r="AN233" s="30" t="s">
        <v>245</v>
      </c>
      <c r="AO233" s="30" t="s">
        <v>522</v>
      </c>
      <c r="AP233" s="29"/>
    </row>
    <row r="234" spans="40:42">
      <c r="AN234" s="30" t="s">
        <v>246</v>
      </c>
      <c r="AO234" s="30" t="s">
        <v>523</v>
      </c>
      <c r="AP234" s="29"/>
    </row>
    <row r="235" spans="40:42">
      <c r="AN235" s="30" t="s">
        <v>247</v>
      </c>
      <c r="AO235" s="30" t="s">
        <v>524</v>
      </c>
      <c r="AP235" s="29"/>
    </row>
    <row r="236" spans="40:42">
      <c r="AN236" s="30" t="s">
        <v>248</v>
      </c>
      <c r="AO236" s="30" t="s">
        <v>525</v>
      </c>
      <c r="AP236" s="29"/>
    </row>
    <row r="237" spans="40:42">
      <c r="AN237" s="30" t="s">
        <v>249</v>
      </c>
      <c r="AO237" s="30" t="s">
        <v>526</v>
      </c>
      <c r="AP237" s="29"/>
    </row>
    <row r="238" spans="40:42">
      <c r="AN238" s="30" t="s">
        <v>250</v>
      </c>
      <c r="AO238" s="30" t="s">
        <v>527</v>
      </c>
      <c r="AP238" s="29"/>
    </row>
    <row r="239" spans="40:42">
      <c r="AN239" s="30" t="s">
        <v>251</v>
      </c>
      <c r="AO239" s="30" t="s">
        <v>528</v>
      </c>
      <c r="AP239" s="29"/>
    </row>
  </sheetData>
  <sheetProtection algorithmName="SHA-512" hashValue="RccgJ0H0X0FgK5JBrnORuWfKWSZzfMAtNlK9D0ifu5lGnD1b9SaAtEcQA/vgw6SLolcj8UiX1du1c5qE/hUlSQ==" saltValue="OZoglqSnxDUqo5u+6EXtIA==" spinCount="100000" sheet="1" scenarios="1"/>
  <mergeCells count="198">
    <mergeCell ref="AF63:AG63"/>
    <mergeCell ref="AH63:AI63"/>
    <mergeCell ref="D59:J59"/>
    <mergeCell ref="K59:L59"/>
    <mergeCell ref="M59:N59"/>
    <mergeCell ref="Y23:AH23"/>
    <mergeCell ref="Y24:AH24"/>
    <mergeCell ref="Y25:AH25"/>
    <mergeCell ref="E30:R30"/>
    <mergeCell ref="AH56:AI56"/>
    <mergeCell ref="B38:D38"/>
    <mergeCell ref="B53:C53"/>
    <mergeCell ref="B55:C55"/>
    <mergeCell ref="D53:J53"/>
    <mergeCell ref="B54:C54"/>
    <mergeCell ref="T29:X29"/>
    <mergeCell ref="Y29:AH29"/>
    <mergeCell ref="AF53:AG53"/>
    <mergeCell ref="B60:C60"/>
    <mergeCell ref="D55:J55"/>
    <mergeCell ref="O55:AE55"/>
    <mergeCell ref="AH53:AI53"/>
    <mergeCell ref="B63:C63"/>
    <mergeCell ref="B59:C59"/>
    <mergeCell ref="B72:AI72"/>
    <mergeCell ref="B69:AI69"/>
    <mergeCell ref="B70:AI70"/>
    <mergeCell ref="M44:R44"/>
    <mergeCell ref="AH64:AI64"/>
    <mergeCell ref="O59:AE59"/>
    <mergeCell ref="O60:AE60"/>
    <mergeCell ref="O61:AE61"/>
    <mergeCell ref="O62:AE62"/>
    <mergeCell ref="O63:AE63"/>
    <mergeCell ref="O64:AE64"/>
    <mergeCell ref="D60:J60"/>
    <mergeCell ref="K60:L60"/>
    <mergeCell ref="M60:N60"/>
    <mergeCell ref="AF60:AG60"/>
    <mergeCell ref="AH60:AI60"/>
    <mergeCell ref="D63:J63"/>
    <mergeCell ref="K63:L63"/>
    <mergeCell ref="M63:N63"/>
    <mergeCell ref="B64:C64"/>
    <mergeCell ref="D64:J64"/>
    <mergeCell ref="K64:L64"/>
    <mergeCell ref="M64:N64"/>
    <mergeCell ref="AF64:AG64"/>
    <mergeCell ref="B56:C56"/>
    <mergeCell ref="D56:J56"/>
    <mergeCell ref="K56:L56"/>
    <mergeCell ref="M56:N56"/>
    <mergeCell ref="AF56:AG56"/>
    <mergeCell ref="O56:AE56"/>
    <mergeCell ref="O57:AE57"/>
    <mergeCell ref="O58:AE58"/>
    <mergeCell ref="B61:C61"/>
    <mergeCell ref="D61:J61"/>
    <mergeCell ref="K61:L61"/>
    <mergeCell ref="M61:N61"/>
    <mergeCell ref="AF61:AG61"/>
    <mergeCell ref="B58:C58"/>
    <mergeCell ref="D58:J58"/>
    <mergeCell ref="K58:L58"/>
    <mergeCell ref="M58:N58"/>
    <mergeCell ref="AF58:AG58"/>
    <mergeCell ref="AF59:AG59"/>
    <mergeCell ref="B62:C62"/>
    <mergeCell ref="D62:J62"/>
    <mergeCell ref="K62:L62"/>
    <mergeCell ref="M62:N62"/>
    <mergeCell ref="E17:R17"/>
    <mergeCell ref="E18:R18"/>
    <mergeCell ref="E19:R19"/>
    <mergeCell ref="E20:R20"/>
    <mergeCell ref="T17:X17"/>
    <mergeCell ref="T18:X18"/>
    <mergeCell ref="D54:J54"/>
    <mergeCell ref="K53:L53"/>
    <mergeCell ref="K54:L54"/>
    <mergeCell ref="E23:R23"/>
    <mergeCell ref="E24:R24"/>
    <mergeCell ref="T20:X20"/>
    <mergeCell ref="E40:R40"/>
    <mergeCell ref="E41:R41"/>
    <mergeCell ref="S34:X34"/>
    <mergeCell ref="B23:D23"/>
    <mergeCell ref="E47:AI47"/>
    <mergeCell ref="B51:AI51"/>
    <mergeCell ref="B50:AI50"/>
    <mergeCell ref="B49:AI49"/>
    <mergeCell ref="M4:T4"/>
    <mergeCell ref="B14:AI14"/>
    <mergeCell ref="M53:N53"/>
    <mergeCell ref="Y17:AH17"/>
    <mergeCell ref="B37:D37"/>
    <mergeCell ref="E37:R37"/>
    <mergeCell ref="B47:D47"/>
    <mergeCell ref="Y26:AH26"/>
    <mergeCell ref="B30:D30"/>
    <mergeCell ref="E26:R26"/>
    <mergeCell ref="T23:X23"/>
    <mergeCell ref="T24:X24"/>
    <mergeCell ref="T25:X25"/>
    <mergeCell ref="T19:X19"/>
    <mergeCell ref="E38:R38"/>
    <mergeCell ref="E39:R39"/>
    <mergeCell ref="E44:K44"/>
    <mergeCell ref="T37:X37"/>
    <mergeCell ref="T38:X38"/>
    <mergeCell ref="T39:X39"/>
    <mergeCell ref="Y37:AF37"/>
    <mergeCell ref="Y38:AF38"/>
    <mergeCell ref="Y39:AF39"/>
    <mergeCell ref="T28:X28"/>
    <mergeCell ref="M55:N55"/>
    <mergeCell ref="AH57:AI57"/>
    <mergeCell ref="B1:I1"/>
    <mergeCell ref="B2:I2"/>
    <mergeCell ref="J2:V2"/>
    <mergeCell ref="J1:V1"/>
    <mergeCell ref="B16:D16"/>
    <mergeCell ref="Y16:AH16"/>
    <mergeCell ref="W1:AF1"/>
    <mergeCell ref="W2:AF2"/>
    <mergeCell ref="B8:T12"/>
    <mergeCell ref="AA4:AF4"/>
    <mergeCell ref="AA3:AF3"/>
    <mergeCell ref="E16:R16"/>
    <mergeCell ref="T16:X16"/>
    <mergeCell ref="B3:C3"/>
    <mergeCell ref="B4:C4"/>
    <mergeCell ref="D3:F3"/>
    <mergeCell ref="G3:L3"/>
    <mergeCell ref="U3:Z3"/>
    <mergeCell ref="D4:F4"/>
    <mergeCell ref="G4:L4"/>
    <mergeCell ref="U4:Z4"/>
    <mergeCell ref="M3:T3"/>
    <mergeCell ref="Y28:AH28"/>
    <mergeCell ref="Y34:AH34"/>
    <mergeCell ref="T35:X35"/>
    <mergeCell ref="Y35:AH35"/>
    <mergeCell ref="E33:R33"/>
    <mergeCell ref="E34:R34"/>
    <mergeCell ref="T30:X30"/>
    <mergeCell ref="E27:R27"/>
    <mergeCell ref="T26:X26"/>
    <mergeCell ref="Y30:AH30"/>
    <mergeCell ref="W32:AD32"/>
    <mergeCell ref="B71:AI71"/>
    <mergeCell ref="U45:AB45"/>
    <mergeCell ref="U44:AB44"/>
    <mergeCell ref="U43:AB43"/>
    <mergeCell ref="U42:AB42"/>
    <mergeCell ref="AC42:AF42"/>
    <mergeCell ref="AC43:AF43"/>
    <mergeCell ref="AC44:AF44"/>
    <mergeCell ref="AC45:AF45"/>
    <mergeCell ref="B48:AI48"/>
    <mergeCell ref="B44:D44"/>
    <mergeCell ref="M54:N54"/>
    <mergeCell ref="AF62:AG62"/>
    <mergeCell ref="AH62:AI62"/>
    <mergeCell ref="AF57:AG57"/>
    <mergeCell ref="AH61:AI61"/>
    <mergeCell ref="AH58:AI58"/>
    <mergeCell ref="AF55:AG55"/>
    <mergeCell ref="AH55:AI55"/>
    <mergeCell ref="B57:C57"/>
    <mergeCell ref="D57:J57"/>
    <mergeCell ref="K57:L57"/>
    <mergeCell ref="M57:N57"/>
    <mergeCell ref="K55:L55"/>
    <mergeCell ref="B13:AI13"/>
    <mergeCell ref="AH59:AI59"/>
    <mergeCell ref="O54:AG54"/>
    <mergeCell ref="E66:I66"/>
    <mergeCell ref="E67:I67"/>
    <mergeCell ref="J66:K66"/>
    <mergeCell ref="J67:K67"/>
    <mergeCell ref="Y5:AF5"/>
    <mergeCell ref="Y6:AF6"/>
    <mergeCell ref="B5:D5"/>
    <mergeCell ref="E5:N5"/>
    <mergeCell ref="O5:X5"/>
    <mergeCell ref="B6:D6"/>
    <mergeCell ref="E6:N6"/>
    <mergeCell ref="O6:X6"/>
    <mergeCell ref="Y21:AH21"/>
    <mergeCell ref="U41:Z41"/>
    <mergeCell ref="Y18:AH18"/>
    <mergeCell ref="Y19:AH19"/>
    <mergeCell ref="Y20:AH20"/>
    <mergeCell ref="E25:R25"/>
    <mergeCell ref="T21:X21"/>
    <mergeCell ref="E31:R31"/>
    <mergeCell ref="E32:R32"/>
  </mergeCells>
  <conditionalFormatting sqref="B2 J2 D4 G4 M4 E6 O6 Y6 E16 E17 E18 E19 E20 E23 E24 E25 E26 E27 E30 E31 E32 E33 E34 E37 E38 E39 E40 E41 Y16 Y17 Y18 Y19 Y20 Y21 Y23 Y24 Y25 Y26 Y28 Y29 Y30 E44 M44 AC42 AC43 AC44 AC45 E47 B48 B49 B50 B51 B55 B56 B57 B58 B59 B60 B61 B62 B63 B64 D55 D56 D57 D58 D59 D60 D61 D62 D63 D64 K55 M55 K56 M56 K57 M57 K58 M58 K59 M59 K60 M60 K61 M61 K62 M62 K63 M63 K64 M64 O55 O56 O57 O58 O59 O60 O61 O62 O63 O64 AF55 AH55 AF56 AH56 AF57 AH57 AF58 AH58 AF59 AH59 AF60 AH60 AF61 AH61 AF62 AH62 AF63 AH63 AF64 AH64 J66 J67">
    <cfRule type="containsBlanks" dxfId="11" priority="8">
      <formula>LEN(TRIM(B2))=0</formula>
    </cfRule>
  </conditionalFormatting>
  <conditionalFormatting sqref="Y28">
    <cfRule type="containsBlanks" dxfId="10" priority="7">
      <formula>LEN(TRIM(Y28))=0</formula>
    </cfRule>
  </conditionalFormatting>
  <conditionalFormatting sqref="AC42">
    <cfRule type="containsBlanks" dxfId="9" priority="4">
      <formula>LEN(TRIM(AC42))=0</formula>
    </cfRule>
  </conditionalFormatting>
  <conditionalFormatting sqref="AC43">
    <cfRule type="containsBlanks" dxfId="8" priority="3">
      <formula>LEN(TRIM(AC43))=0</formula>
    </cfRule>
  </conditionalFormatting>
  <conditionalFormatting sqref="AC44">
    <cfRule type="containsBlanks" dxfId="7" priority="2">
      <formula>LEN(TRIM(AC44))=0</formula>
    </cfRule>
  </conditionalFormatting>
  <conditionalFormatting sqref="AC45">
    <cfRule type="containsBlanks" dxfId="6" priority="1">
      <formula>LEN(TRIM(AC45))=0</formula>
    </cfRule>
  </conditionalFormatting>
  <dataValidations count="1">
    <dataValidation allowBlank="1" sqref="T99:AL99 T98:AC98"/>
  </dataValidations>
  <printOptions horizontalCentered="1"/>
  <pageMargins left="0.45" right="0.45" top="0.5" bottom="0.5" header="0.3" footer="0.3"/>
  <pageSetup scale="44" fitToHeight="0" orientation="portrait" blackAndWhite="1" horizontalDpi="0" verticalDpi="0" r:id="rId1"/>
  <headerFooter>
    <oddHeader>&amp;RPage &amp;P of &amp;N</oddHeader>
  </headerFooter>
  <drawing r:id="rId2"/>
  <legacyDrawing r:id="rId3"/>
  <controls>
    <mc:AlternateContent xmlns:mc="http://schemas.openxmlformats.org/markup-compatibility/2006">
      <mc:Choice Requires="x14">
        <control shapeId="2052" r:id="rId4" name="ComboBox2">
          <controlPr locked="0" defaultSize="0" print="0" autoLine="0" linkedCell="U4" listFillRange="AQ19:AQ22" r:id="rId5">
            <anchor moveWithCells="1" sizeWithCells="1">
              <from>
                <xdr:col>20</xdr:col>
                <xdr:colOff>9525</xdr:colOff>
                <xdr:row>3</xdr:row>
                <xdr:rowOff>0</xdr:rowOff>
              </from>
              <to>
                <xdr:col>26</xdr:col>
                <xdr:colOff>9525</xdr:colOff>
                <xdr:row>4</xdr:row>
                <xdr:rowOff>0</xdr:rowOff>
              </to>
            </anchor>
          </controlPr>
        </control>
      </mc:Choice>
      <mc:Fallback>
        <control shapeId="2052" r:id="rId4" name="ComboBox2"/>
      </mc:Fallback>
    </mc:AlternateContent>
    <mc:AlternateContent xmlns:mc="http://schemas.openxmlformats.org/markup-compatibility/2006">
      <mc:Choice Requires="x14">
        <control shapeId="2051" r:id="rId6" name="ComboBox1">
          <controlPr locked="0" defaultSize="0" print="0" autoLine="0" linkedCell="B4" listFillRange="AR19:AR21" r:id="rId7">
            <anchor moveWithCells="1" sizeWithCells="1">
              <from>
                <xdr:col>0</xdr:col>
                <xdr:colOff>0</xdr:colOff>
                <xdr:row>3</xdr:row>
                <xdr:rowOff>0</xdr:rowOff>
              </from>
              <to>
                <xdr:col>2</xdr:col>
                <xdr:colOff>704850</xdr:colOff>
                <xdr:row>4</xdr:row>
                <xdr:rowOff>0</xdr:rowOff>
              </to>
            </anchor>
          </controlPr>
        </control>
      </mc:Choice>
      <mc:Fallback>
        <control shapeId="2051" r:id="rId6" name="ComboBox1"/>
      </mc:Fallback>
    </mc:AlternateContent>
    <mc:AlternateContent xmlns:mc="http://schemas.openxmlformats.org/markup-compatibility/2006">
      <mc:Choice Requires="x14">
        <control shapeId="2050" r:id="rId8" name="ComboBox24">
          <controlPr defaultSize="0" print="0" autoLine="0" autoPict="0" linkedCell="AA4" listFillRange="AP12:AP14" r:id="rId9">
            <anchor moveWithCells="1" sizeWithCells="1">
              <from>
                <xdr:col>25</xdr:col>
                <xdr:colOff>285750</xdr:colOff>
                <xdr:row>3</xdr:row>
                <xdr:rowOff>0</xdr:rowOff>
              </from>
              <to>
                <xdr:col>32</xdr:col>
                <xdr:colOff>0</xdr:colOff>
                <xdr:row>4</xdr:row>
                <xdr:rowOff>0</xdr:rowOff>
              </to>
            </anchor>
          </controlPr>
        </control>
      </mc:Choice>
      <mc:Fallback>
        <control shapeId="2050" r:id="rId8" name="ComboBox24"/>
      </mc:Fallback>
    </mc:AlternateContent>
    <mc:AlternateContent xmlns:mc="http://schemas.openxmlformats.org/markup-compatibility/2006">
      <mc:Choice Requires="x14">
        <control shapeId="2049" r:id="rId10" name="ComboBox23">
          <controlPr locked="0" defaultSize="0" print="0" autoLine="0" linkedCell="W2" listFillRange="AN19:AN239" r:id="rId11">
            <anchor moveWithCells="1" sizeWithCells="1">
              <from>
                <xdr:col>22</xdr:col>
                <xdr:colOff>9525</xdr:colOff>
                <xdr:row>0</xdr:row>
                <xdr:rowOff>266700</xdr:rowOff>
              </from>
              <to>
                <xdr:col>32</xdr:col>
                <xdr:colOff>0</xdr:colOff>
                <xdr:row>1</xdr:row>
                <xdr:rowOff>266700</xdr:rowOff>
              </to>
            </anchor>
          </controlPr>
        </control>
      </mc:Choice>
      <mc:Fallback>
        <control shapeId="2049" r:id="rId10" name="ComboBox23"/>
      </mc:Fallback>
    </mc:AlternateContent>
    <mc:AlternateContent xmlns:mc="http://schemas.openxmlformats.org/markup-compatibility/2006">
      <mc:Choice Requires="x14">
        <control shapeId="2053" r:id="rId12" name="ComboBox3">
          <controlPr locked="0" defaultSize="0" print="0" autoLine="0" autoPict="0" linkedCell="B6" listFillRange="AR19:AR21" r:id="rId13">
            <anchor moveWithCells="1" sizeWithCells="1">
              <from>
                <xdr:col>0</xdr:col>
                <xdr:colOff>0</xdr:colOff>
                <xdr:row>5</xdr:row>
                <xdr:rowOff>0</xdr:rowOff>
              </from>
              <to>
                <xdr:col>3</xdr:col>
                <xdr:colOff>714375</xdr:colOff>
                <xdr:row>6</xdr:row>
                <xdr:rowOff>0</xdr:rowOff>
              </to>
            </anchor>
          </controlPr>
        </control>
      </mc:Choice>
      <mc:Fallback>
        <control shapeId="2053" r:id="rId12" name="ComboBox3"/>
      </mc:Fallback>
    </mc:AlternateContent>
  </controls>
  <tableParts count="2">
    <tablePart r:id="rId14"/>
    <tablePart r:id="rId1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Cargo Availability Notice</vt:lpstr>
      <vt:lpstr>'Cargo Availability Notice'!Print_Area</vt:lpstr>
      <vt:lpstr>'Cargo Availability Notice'!Print_Titles</vt:lpstr>
    </vt:vector>
  </TitlesOfParts>
  <Company>vanguard Logistics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Krist</dc:creator>
  <cp:lastModifiedBy>Ryan Krist</cp:lastModifiedBy>
  <cp:lastPrinted>2021-03-31T01:40:57Z</cp:lastPrinted>
  <dcterms:created xsi:type="dcterms:W3CDTF">2020-11-23T17:15:04Z</dcterms:created>
  <dcterms:modified xsi:type="dcterms:W3CDTF">2021-04-13T18:30:47Z</dcterms:modified>
</cp:coreProperties>
</file>